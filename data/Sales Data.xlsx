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A23DCEB-F6F9-46F3-B509-1BDF3ACCDB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9" i="1" l="1"/>
  <c r="L168" i="1"/>
  <c r="L160" i="1"/>
  <c r="L159" i="1"/>
  <c r="L142" i="1"/>
  <c r="L141" i="1"/>
  <c r="L133" i="1"/>
  <c r="L134" i="1"/>
  <c r="L135" i="1"/>
  <c r="L136" i="1"/>
  <c r="L137" i="1"/>
  <c r="L138" i="1"/>
  <c r="L139" i="1"/>
  <c r="L132" i="1"/>
  <c r="L127" i="1"/>
  <c r="L126" i="1"/>
  <c r="L120" i="1"/>
  <c r="L119" i="1"/>
  <c r="L102" i="1"/>
  <c r="L101" i="1"/>
  <c r="L97" i="1"/>
  <c r="L98" i="1"/>
  <c r="L99" i="1"/>
  <c r="L96" i="1"/>
  <c r="L69" i="1"/>
  <c r="L70" i="1"/>
  <c r="L71" i="1"/>
  <c r="L72" i="1"/>
  <c r="L73" i="1"/>
  <c r="L68" i="1"/>
  <c r="L26" i="1"/>
  <c r="L27" i="1"/>
  <c r="L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" i="1"/>
  <c r="J206" i="1"/>
  <c r="K206" i="1" s="1"/>
  <c r="J181" i="1"/>
  <c r="K181" i="1" s="1"/>
  <c r="J84" i="1"/>
  <c r="K84" i="1" s="1"/>
  <c r="J39" i="1"/>
  <c r="K39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9" i="1"/>
  <c r="M70" i="1"/>
  <c r="M71" i="1"/>
  <c r="M72" i="1"/>
  <c r="M73" i="1"/>
  <c r="M74" i="1"/>
  <c r="M75" i="1"/>
  <c r="M76" i="1"/>
  <c r="M79" i="1"/>
  <c r="M80" i="1"/>
  <c r="M81" i="1"/>
  <c r="M82" i="1"/>
  <c r="M83" i="1"/>
  <c r="M85" i="1"/>
  <c r="M86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4" i="1"/>
  <c r="M105" i="1"/>
  <c r="M106" i="1"/>
  <c r="M107" i="1"/>
  <c r="M109" i="1"/>
  <c r="M110" i="1"/>
  <c r="M112" i="1"/>
  <c r="M113" i="1"/>
  <c r="M114" i="1"/>
  <c r="M115" i="1"/>
  <c r="M117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3" i="1"/>
  <c r="M134" i="1"/>
  <c r="M135" i="1"/>
  <c r="M136" i="1"/>
  <c r="M137" i="1"/>
  <c r="M138" i="1"/>
  <c r="M139" i="1"/>
  <c r="M140" i="1"/>
  <c r="M142" i="1"/>
  <c r="M143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7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06" i="1"/>
  <c r="M181" i="1"/>
  <c r="M84" i="1"/>
  <c r="M39" i="1"/>
  <c r="L208" i="1"/>
  <c r="M208" i="1" s="1"/>
  <c r="L180" i="1"/>
  <c r="M180" i="1" s="1"/>
  <c r="L158" i="1"/>
  <c r="M158" i="1" s="1"/>
  <c r="L144" i="1"/>
  <c r="M144" i="1" s="1"/>
  <c r="M141" i="1"/>
  <c r="M132" i="1"/>
  <c r="M119" i="1"/>
  <c r="L118" i="1"/>
  <c r="M118" i="1" s="1"/>
  <c r="L116" i="1"/>
  <c r="M116" i="1" s="1"/>
  <c r="L111" i="1"/>
  <c r="M111" i="1" s="1"/>
  <c r="L108" i="1"/>
  <c r="M108" i="1" s="1"/>
  <c r="L103" i="1"/>
  <c r="M103" i="1" s="1"/>
  <c r="L93" i="1"/>
  <c r="M93" i="1" s="1"/>
  <c r="L88" i="1"/>
  <c r="M88" i="1" s="1"/>
  <c r="L87" i="1"/>
  <c r="M87" i="1" s="1"/>
  <c r="L78" i="1"/>
  <c r="M78" i="1" s="1"/>
  <c r="L77" i="1"/>
  <c r="M77" i="1" s="1"/>
  <c r="M68" i="1"/>
  <c r="E211" i="2"/>
  <c r="F209" i="2"/>
  <c r="F184" i="2"/>
  <c r="E183" i="2"/>
  <c r="E161" i="2"/>
  <c r="E147" i="2"/>
  <c r="E144" i="2"/>
  <c r="E135" i="2"/>
  <c r="E122" i="2"/>
  <c r="E121" i="2"/>
  <c r="E119" i="2"/>
  <c r="E114" i="2"/>
  <c r="E111" i="2"/>
  <c r="E106" i="2"/>
  <c r="E96" i="2"/>
  <c r="E91" i="2"/>
  <c r="E90" i="2"/>
  <c r="F87" i="2"/>
  <c r="E81" i="2"/>
  <c r="E80" i="2"/>
  <c r="E71" i="2"/>
  <c r="F42" i="2"/>
  <c r="F2" i="2"/>
  <c r="E2" i="2"/>
  <c r="H2" i="2" l="1"/>
  <c r="J2" i="2" s="1"/>
</calcChain>
</file>

<file path=xl/sharedStrings.xml><?xml version="1.0" encoding="utf-8"?>
<sst xmlns="http://schemas.openxmlformats.org/spreadsheetml/2006/main" count="896" uniqueCount="448">
  <si>
    <t>OrderID</t>
  </si>
  <si>
    <t>PurchaseDate</t>
  </si>
  <si>
    <t>SaleDate</t>
  </si>
  <si>
    <t>Category</t>
  </si>
  <si>
    <t>Product</t>
  </si>
  <si>
    <t>SaleLocation</t>
  </si>
  <si>
    <t>CustomerSegment</t>
  </si>
  <si>
    <t>Salesperson</t>
  </si>
  <si>
    <t>Units</t>
  </si>
  <si>
    <t>UnitPrice</t>
  </si>
  <si>
    <t>Revenue</t>
  </si>
  <si>
    <t>Cost</t>
  </si>
  <si>
    <t>Profit</t>
  </si>
  <si>
    <t>S-00001</t>
  </si>
  <si>
    <t>Stihl Chainsaw</t>
  </si>
  <si>
    <t>Ebay</t>
  </si>
  <si>
    <t>S-00002</t>
  </si>
  <si>
    <t>PS4</t>
  </si>
  <si>
    <t>Market</t>
  </si>
  <si>
    <t>S-00003</t>
  </si>
  <si>
    <t>S-00004</t>
  </si>
  <si>
    <t>S-00005</t>
  </si>
  <si>
    <t>S-00006</t>
  </si>
  <si>
    <t>S-00007</t>
  </si>
  <si>
    <t>S-00008</t>
  </si>
  <si>
    <t>S-00009</t>
  </si>
  <si>
    <t>Stihl BG85 Blower</t>
  </si>
  <si>
    <t>S-00010</t>
  </si>
  <si>
    <t>Dyson TP09 Fan</t>
  </si>
  <si>
    <t>S-00011</t>
  </si>
  <si>
    <t>Mcculloch Mac 335 Chainsaw</t>
  </si>
  <si>
    <t>S-00012</t>
  </si>
  <si>
    <t>Metrel Tester</t>
  </si>
  <si>
    <t>S-00013</t>
  </si>
  <si>
    <t>Alienware PC</t>
  </si>
  <si>
    <t>S-00014</t>
  </si>
  <si>
    <t xml:space="preserve">Dyson V11 </t>
  </si>
  <si>
    <t>S-00015</t>
  </si>
  <si>
    <t>Electric Scooter</t>
  </si>
  <si>
    <t>S-00016</t>
  </si>
  <si>
    <t>Stihl Kombi</t>
  </si>
  <si>
    <t>Vinted</t>
  </si>
  <si>
    <t>S-00017</t>
  </si>
  <si>
    <t>Stihl BG86 Blower</t>
  </si>
  <si>
    <t>S-00018</t>
  </si>
  <si>
    <t>Stihl Blower</t>
  </si>
  <si>
    <t>S-00019</t>
  </si>
  <si>
    <t>Dell XPS 9360</t>
  </si>
  <si>
    <t>S-00020</t>
  </si>
  <si>
    <t>Dell Laptop</t>
  </si>
  <si>
    <t>S-00021</t>
  </si>
  <si>
    <t>ASUS Gaming Laptop</t>
  </si>
  <si>
    <t>S-00022</t>
  </si>
  <si>
    <t>Dell Laptop AJ</t>
  </si>
  <si>
    <t>S-00023</t>
  </si>
  <si>
    <t xml:space="preserve">Stihl HS45 </t>
  </si>
  <si>
    <t>S-00024</t>
  </si>
  <si>
    <t>Stihl FS90 Strimmer (Split)</t>
  </si>
  <si>
    <t>Facebook</t>
  </si>
  <si>
    <t>S-00025</t>
  </si>
  <si>
    <t>Stihl FS55 Strimmer (Split)</t>
  </si>
  <si>
    <t>S-00026</t>
  </si>
  <si>
    <t>Stihl HS45 (Split)</t>
  </si>
  <si>
    <t>S-00027</t>
  </si>
  <si>
    <t>Lappierre Bike</t>
  </si>
  <si>
    <t>S-00028</t>
  </si>
  <si>
    <t>Genesis Croix De Fer</t>
  </si>
  <si>
    <t>S-00029</t>
  </si>
  <si>
    <t>Giant Contend SL</t>
  </si>
  <si>
    <t>S-00030</t>
  </si>
  <si>
    <t>Home</t>
  </si>
  <si>
    <t>S-00031</t>
  </si>
  <si>
    <t>CAT Battery Pack</t>
  </si>
  <si>
    <t>S-00032</t>
  </si>
  <si>
    <t>Dyson V8</t>
  </si>
  <si>
    <t>Private</t>
  </si>
  <si>
    <t>S-00033</t>
  </si>
  <si>
    <t>Dyson Fans 2x</t>
  </si>
  <si>
    <t>S-00034</t>
  </si>
  <si>
    <t>Apple Type C Charging Block</t>
  </si>
  <si>
    <t>S-00035</t>
  </si>
  <si>
    <t>S-00036</t>
  </si>
  <si>
    <t>S-00037</t>
  </si>
  <si>
    <t>S-00038</t>
  </si>
  <si>
    <t>8x PS4</t>
  </si>
  <si>
    <t>S-00039</t>
  </si>
  <si>
    <t>Stihl HS45 - Seized</t>
  </si>
  <si>
    <t>S-00040</t>
  </si>
  <si>
    <t>Stihl BG86c Blower - Groggy</t>
  </si>
  <si>
    <t>S-00041</t>
  </si>
  <si>
    <t>Stihl HS45</t>
  </si>
  <si>
    <t>S-00042</t>
  </si>
  <si>
    <t>Stihl HS86r (Split)</t>
  </si>
  <si>
    <t>S-00043</t>
  </si>
  <si>
    <t>Stihl Backpack Blower (Split)</t>
  </si>
  <si>
    <t>S-00044</t>
  </si>
  <si>
    <t>Stihl Blower BG56c (Split)</t>
  </si>
  <si>
    <t>S-00045</t>
  </si>
  <si>
    <t>Stihl MS 171 Chainsaw</t>
  </si>
  <si>
    <t>S-00046</t>
  </si>
  <si>
    <t>Stihl FS38 Strimmer</t>
  </si>
  <si>
    <t>S-00047</t>
  </si>
  <si>
    <t>Stihl SH55 Blower</t>
  </si>
  <si>
    <t>S-00048</t>
  </si>
  <si>
    <t>Dyson Joblot (Frank)</t>
  </si>
  <si>
    <t>S-00049</t>
  </si>
  <si>
    <t>Stihl HS56c</t>
  </si>
  <si>
    <t>S-00050</t>
  </si>
  <si>
    <t>Stihl FS40</t>
  </si>
  <si>
    <t>S-00051</t>
  </si>
  <si>
    <t>S-00052</t>
  </si>
  <si>
    <t>Stihl HS45 (spares)</t>
  </si>
  <si>
    <t>S-00053</t>
  </si>
  <si>
    <t xml:space="preserve">Stihl MS211c </t>
  </si>
  <si>
    <t>S-00054</t>
  </si>
  <si>
    <t>Dewalt Mini Drill</t>
  </si>
  <si>
    <t>S-00055</t>
  </si>
  <si>
    <t>Stihl MS170, unit only</t>
  </si>
  <si>
    <t>S-00056</t>
  </si>
  <si>
    <t>2x Stihl Leafblowers Spares or Repairs</t>
  </si>
  <si>
    <t>S-00057</t>
  </si>
  <si>
    <t xml:space="preserve">Norco FSR </t>
  </si>
  <si>
    <t>Home - Not paid</t>
  </si>
  <si>
    <t>S-00058</t>
  </si>
  <si>
    <t>Anker Powerbank (Split)</t>
  </si>
  <si>
    <t>S-00059</t>
  </si>
  <si>
    <t>Stihl FS50c Strimmer</t>
  </si>
  <si>
    <t>S-00060</t>
  </si>
  <si>
    <t>PS4 Console</t>
  </si>
  <si>
    <t>S-00061</t>
  </si>
  <si>
    <t>Stihl MS180 2007 non runner</t>
  </si>
  <si>
    <t>S-00062</t>
  </si>
  <si>
    <t>Stihl MS181 Chainsaw, needs attention</t>
  </si>
  <si>
    <t>S-00063</t>
  </si>
  <si>
    <t>S-00064</t>
  </si>
  <si>
    <t>S-00065</t>
  </si>
  <si>
    <t>S-00066</t>
  </si>
  <si>
    <t>Stihl BG86c Blower - stop button not working, fixed</t>
  </si>
  <si>
    <t>S-00067</t>
  </si>
  <si>
    <t>Stihl HT101 Pole Saw - Non runner + 2 Pruner attachments (Split)</t>
  </si>
  <si>
    <t>S-00068</t>
  </si>
  <si>
    <t>Stihl MS250  (Split)</t>
  </si>
  <si>
    <t>S-00069</t>
  </si>
  <si>
    <t>Stihl 028av  (Split)</t>
  </si>
  <si>
    <t>S-00070</t>
  </si>
  <si>
    <t>Stihl HS81t (Split)</t>
  </si>
  <si>
    <t>S-00071</t>
  </si>
  <si>
    <t>S-00072</t>
  </si>
  <si>
    <t>Non Branded Chainsaw (Split)</t>
  </si>
  <si>
    <t>S-00073</t>
  </si>
  <si>
    <t>Stihl BG86c Blower Frank</t>
  </si>
  <si>
    <t>S-00074</t>
  </si>
  <si>
    <t>Norco MTB</t>
  </si>
  <si>
    <t>S-00075</t>
  </si>
  <si>
    <t>Rug Doctor</t>
  </si>
  <si>
    <t>S-00076</t>
  </si>
  <si>
    <t>Stihl HT101 Pole Saw - Running  (Split)</t>
  </si>
  <si>
    <t>S-00077</t>
  </si>
  <si>
    <t>Hayter 56 Pro  (Split)</t>
  </si>
  <si>
    <t>S-00078</t>
  </si>
  <si>
    <t>Husqvarna 135xtord</t>
  </si>
  <si>
    <t>S-00079</t>
  </si>
  <si>
    <t>Fake Stihl Chainsaw</t>
  </si>
  <si>
    <t>S-00080</t>
  </si>
  <si>
    <t>Stihl MS170 - no pull cord 2020</t>
  </si>
  <si>
    <t>S-00081</t>
  </si>
  <si>
    <t>Husqvarna 137 Chainsaw</t>
  </si>
  <si>
    <t>S-00082</t>
  </si>
  <si>
    <t>Stihl FS38 - Needs new pull cord</t>
  </si>
  <si>
    <t>S-00083</t>
  </si>
  <si>
    <t>Stihl TS410 Concrete Saw</t>
  </si>
  <si>
    <t>S-00084</t>
  </si>
  <si>
    <t>Stihl MS170 - Spares or repairs/Untested</t>
  </si>
  <si>
    <t>S-00085</t>
  </si>
  <si>
    <t>Stihl SH86c (Split)</t>
  </si>
  <si>
    <t>S-00086</t>
  </si>
  <si>
    <t>Stihl BR600 (Split)</t>
  </si>
  <si>
    <t>S-00087</t>
  </si>
  <si>
    <t>Stihl BG86c - no pipe</t>
  </si>
  <si>
    <t>S-00088</t>
  </si>
  <si>
    <t>Stihl TS400 Concrete saw - spare/repair</t>
  </si>
  <si>
    <t>S-00089</t>
  </si>
  <si>
    <t>2x Stihl TS410 - one running, one spare (Split)</t>
  </si>
  <si>
    <t>Frank</t>
  </si>
  <si>
    <t>S-00090</t>
  </si>
  <si>
    <t>Stihl MS210</t>
  </si>
  <si>
    <t>S-00091</t>
  </si>
  <si>
    <t>Stihl BG86 2024</t>
  </si>
  <si>
    <t>S-00092</t>
  </si>
  <si>
    <t>Stihl BG86c 2021</t>
  </si>
  <si>
    <t>S-00093</t>
  </si>
  <si>
    <t>Stihl HS81 RC hedge trimmer</t>
  </si>
  <si>
    <t>S-00094</t>
  </si>
  <si>
    <t>Hayter 56 Pro  (Split) - Frank</t>
  </si>
  <si>
    <t>S-00095</t>
  </si>
  <si>
    <t>Stihl FS40 (Split)</t>
  </si>
  <si>
    <t>S-00096</t>
  </si>
  <si>
    <t>Stihl FS40 (split)</t>
  </si>
  <si>
    <t>S-00097</t>
  </si>
  <si>
    <t>Stihl FS45 (split)</t>
  </si>
  <si>
    <t>S-00098</t>
  </si>
  <si>
    <t>Stihl FS85 Engine (split)</t>
  </si>
  <si>
    <t>S-00099</t>
  </si>
  <si>
    <t>Stihl TS400 Concrete Saw - needed petrol</t>
  </si>
  <si>
    <t>S-00100</t>
  </si>
  <si>
    <t>Stihl MS251 Chainsaw</t>
  </si>
  <si>
    <t>S-00101</t>
  </si>
  <si>
    <t>Stihl MS151TC Chainsaw</t>
  </si>
  <si>
    <t>S-00102</t>
  </si>
  <si>
    <t>Stihl TS480i</t>
  </si>
  <si>
    <t>S-00103</t>
  </si>
  <si>
    <t>Stihl MS180 - New carb?</t>
  </si>
  <si>
    <t>S-00104</t>
  </si>
  <si>
    <t>Stihl MS251 with 16" bar</t>
  </si>
  <si>
    <t>S-00105</t>
  </si>
  <si>
    <t>Stihl Ts410 Disc Cutter, new carb?</t>
  </si>
  <si>
    <t>S-00106</t>
  </si>
  <si>
    <t>Stihl MS181 Chainsaw plus one for spares</t>
  </si>
  <si>
    <t>S-00107</t>
  </si>
  <si>
    <t>Husqvarna 236 x Torq - 17 bar</t>
  </si>
  <si>
    <t>S-00108</t>
  </si>
  <si>
    <t>Parker Brand Chainsaw</t>
  </si>
  <si>
    <t>S-00109</t>
  </si>
  <si>
    <t>Husqvarna 236 x Torq new fuel lines</t>
  </si>
  <si>
    <t>S-00110</t>
  </si>
  <si>
    <t>Stihl TS400</t>
  </si>
  <si>
    <t>S-00111</t>
  </si>
  <si>
    <t>Husqvarna 440 e series</t>
  </si>
  <si>
    <t>S-00112</t>
  </si>
  <si>
    <t>Stihl MS200T Topping Saw - No blade or chain</t>
  </si>
  <si>
    <t>S-00113</t>
  </si>
  <si>
    <t>Stihl MS201t - brake not working, missing filter cover</t>
  </si>
  <si>
    <t>S-00114</t>
  </si>
  <si>
    <t>Stihl BG86c - spares/repairs</t>
  </si>
  <si>
    <t>S-00115</t>
  </si>
  <si>
    <t>Leaf blower - stihl</t>
  </si>
  <si>
    <t>S-00116</t>
  </si>
  <si>
    <t>Hayter Harrier 41 (Split)</t>
  </si>
  <si>
    <t>S-00117</t>
  </si>
  <si>
    <t>Stihl TS410 - New carb (Split)</t>
  </si>
  <si>
    <t>S-00118</t>
  </si>
  <si>
    <t>S-00119</t>
  </si>
  <si>
    <t>Stihl HS80 Hedgecutter</t>
  </si>
  <si>
    <t>S-00120</t>
  </si>
  <si>
    <t>Stihl BG86c For spares/repairs</t>
  </si>
  <si>
    <t>S-00121</t>
  </si>
  <si>
    <t>Husqvarna 445 - Spares/repairs</t>
  </si>
  <si>
    <t>S-00122</t>
  </si>
  <si>
    <t>Boardman x7 bike - no wheels, plus price of wheels</t>
  </si>
  <si>
    <t>S-00123</t>
  </si>
  <si>
    <t>S-00124</t>
  </si>
  <si>
    <t>DT Swiss wheels</t>
  </si>
  <si>
    <t>S-00125</t>
  </si>
  <si>
    <t>S-00126</t>
  </si>
  <si>
    <t>Stihl MS250</t>
  </si>
  <si>
    <t>S-00127</t>
  </si>
  <si>
    <t>MSI Laptop Frank</t>
  </si>
  <si>
    <t>S-00128</t>
  </si>
  <si>
    <t>Makita Chainsaw (Split)</t>
  </si>
  <si>
    <t>S-00129</t>
  </si>
  <si>
    <t>Stihl HSA 45 (Split)</t>
  </si>
  <si>
    <t>S-00130</t>
  </si>
  <si>
    <t>Focus Cayo carbon</t>
  </si>
  <si>
    <t>S-00131</t>
  </si>
  <si>
    <t>Hayter Harrier 56 (split)</t>
  </si>
  <si>
    <t>S-00132</t>
  </si>
  <si>
    <t>Stihl BG86c (split)</t>
  </si>
  <si>
    <t>S-00133</t>
  </si>
  <si>
    <t>S-00134</t>
  </si>
  <si>
    <t>Stihl BR420 (Split)</t>
  </si>
  <si>
    <t>S-00135</t>
  </si>
  <si>
    <t>Honda Engine (Split)</t>
  </si>
  <si>
    <t>S-00136</t>
  </si>
  <si>
    <t>Stihl HL75 k (Split)</t>
  </si>
  <si>
    <t>S-00137</t>
  </si>
  <si>
    <t>Transformer (Split)</t>
  </si>
  <si>
    <t>S-00138</t>
  </si>
  <si>
    <t>Danarm Chainsaw (Split)</t>
  </si>
  <si>
    <t>S-00139</t>
  </si>
  <si>
    <t>Hayter Spirit 41 (Split)</t>
  </si>
  <si>
    <t>S-00140</t>
  </si>
  <si>
    <t>Stihl 026</t>
  </si>
  <si>
    <t>S-00141</t>
  </si>
  <si>
    <t>Husqvarna 135</t>
  </si>
  <si>
    <t>S-00142</t>
  </si>
  <si>
    <t>Stihl TS410 - 2020</t>
  </si>
  <si>
    <t>S-00143</t>
  </si>
  <si>
    <t>Stihl TS410 - 2018</t>
  </si>
  <si>
    <t>S-00144</t>
  </si>
  <si>
    <t>Stihl BG86 - new carb</t>
  </si>
  <si>
    <t>S-00145</t>
  </si>
  <si>
    <t>Stihl HS45 - blades stick</t>
  </si>
  <si>
    <t>S-00146</t>
  </si>
  <si>
    <t xml:space="preserve">Stihl MS170 </t>
  </si>
  <si>
    <t>S-00147</t>
  </si>
  <si>
    <t>Stihl MS260</t>
  </si>
  <si>
    <t>S-00148</t>
  </si>
  <si>
    <t>Stihl TS410 - Working</t>
  </si>
  <si>
    <t>S-00149</t>
  </si>
  <si>
    <t>S-00150</t>
  </si>
  <si>
    <t>Stihl MS150TC</t>
  </si>
  <si>
    <t>S-00151</t>
  </si>
  <si>
    <t>Husqvarna 435 x Torq</t>
  </si>
  <si>
    <t>S-00152</t>
  </si>
  <si>
    <t>Husqvarna 550</t>
  </si>
  <si>
    <t>S-00153</t>
  </si>
  <si>
    <t>Stihl BG86 Spares repairs</t>
  </si>
  <si>
    <t>S-00154</t>
  </si>
  <si>
    <t>S-00155</t>
  </si>
  <si>
    <t>Stihl MS340 Chainsaw</t>
  </si>
  <si>
    <t>S-00156</t>
  </si>
  <si>
    <t>Stihl FC90</t>
  </si>
  <si>
    <t>S-00157</t>
  </si>
  <si>
    <t>Stihl SH86c</t>
  </si>
  <si>
    <t>S-00158</t>
  </si>
  <si>
    <t>HP 250 G7</t>
  </si>
  <si>
    <t>S-00159</t>
  </si>
  <si>
    <t>Lenovo Thinkpad E480</t>
  </si>
  <si>
    <t>S-00160</t>
  </si>
  <si>
    <t>Stihl TS410 - Spares</t>
  </si>
  <si>
    <t>S-00161</t>
  </si>
  <si>
    <t>Stihl BG86 2023</t>
  </si>
  <si>
    <t>S-00162</t>
  </si>
  <si>
    <t>Stihl MS230 - Spares - turned into 250</t>
  </si>
  <si>
    <t>S-00163</t>
  </si>
  <si>
    <t>Stihl MS180 Petrol Chainsaw</t>
  </si>
  <si>
    <t>S-00164</t>
  </si>
  <si>
    <t>Husqvarna K760 - Spares/repairs</t>
  </si>
  <si>
    <t>S-00165</t>
  </si>
  <si>
    <t>Hp I5 Laptop</t>
  </si>
  <si>
    <t>S-00166</t>
  </si>
  <si>
    <t>Hp Stream Laptop</t>
  </si>
  <si>
    <t>S-00167</t>
  </si>
  <si>
    <t>Stihl BG86 Blower - Frank</t>
  </si>
  <si>
    <t>S-00168</t>
  </si>
  <si>
    <t>Stihl BG86c Blower - needs new carb</t>
  </si>
  <si>
    <t>S-00169</t>
  </si>
  <si>
    <t>Stihl BG86 - short cord</t>
  </si>
  <si>
    <t>S-00170</t>
  </si>
  <si>
    <t>Stihl BG86c</t>
  </si>
  <si>
    <t>S-00171</t>
  </si>
  <si>
    <t>Stihl BG86</t>
  </si>
  <si>
    <t>S-00172</t>
  </si>
  <si>
    <t>Stihl 024 AV</t>
  </si>
  <si>
    <t>S-00173</t>
  </si>
  <si>
    <t>Husqvarna T540XP</t>
  </si>
  <si>
    <t>S-00174</t>
  </si>
  <si>
    <t>Stihl BG85c</t>
  </si>
  <si>
    <t>S-00175</t>
  </si>
  <si>
    <t>Stihl Petrol Leaf Blower</t>
  </si>
  <si>
    <t>S-00176</t>
  </si>
  <si>
    <t>S-00177</t>
  </si>
  <si>
    <t>Stihl HL94c</t>
  </si>
  <si>
    <t>S-00178</t>
  </si>
  <si>
    <t>Faulty Stihl MS180</t>
  </si>
  <si>
    <t>S-00179</t>
  </si>
  <si>
    <t>Stihl MS360 with bag</t>
  </si>
  <si>
    <t>S-00180</t>
  </si>
  <si>
    <t>PS4 + WiiU + laptop joblot</t>
  </si>
  <si>
    <t>S-00181</t>
  </si>
  <si>
    <t>Dyson V15 Detect Absolute body</t>
  </si>
  <si>
    <t>S-00182</t>
  </si>
  <si>
    <t>Husqvarna Strimmer</t>
  </si>
  <si>
    <t>S-00183</t>
  </si>
  <si>
    <t>Stihl HS56c For parts</t>
  </si>
  <si>
    <t>S-00184</t>
  </si>
  <si>
    <t>G86C stihl</t>
  </si>
  <si>
    <t>S-00185</t>
  </si>
  <si>
    <t>SH86 Leaf blower</t>
  </si>
  <si>
    <t>S-00186</t>
  </si>
  <si>
    <t>Stihl BG56 for parts only</t>
  </si>
  <si>
    <t>S-00187</t>
  </si>
  <si>
    <t>Stihl bg86 / sh86 2009</t>
  </si>
  <si>
    <t>S-00188</t>
  </si>
  <si>
    <t>Stihl MS180 Petrol Chainsaw, for parts</t>
  </si>
  <si>
    <t>S-00189</t>
  </si>
  <si>
    <t>Husqvarna 440 X torq</t>
  </si>
  <si>
    <t>S-00190</t>
  </si>
  <si>
    <t xml:space="preserve">Stihl SH86c unit </t>
  </si>
  <si>
    <t>S-00191</t>
  </si>
  <si>
    <t>Stihl SH86c complete set</t>
  </si>
  <si>
    <t>S-00192</t>
  </si>
  <si>
    <t>Stihl MS170 Chainsaw</t>
  </si>
  <si>
    <t>S-00193</t>
  </si>
  <si>
    <t>Stihl BG85c leaf blower</t>
  </si>
  <si>
    <t>S-00194</t>
  </si>
  <si>
    <t>Stihl BG86 leaf blower</t>
  </si>
  <si>
    <t>S-00195</t>
  </si>
  <si>
    <t>Stihl HL100 Hedgecutter (split)</t>
  </si>
  <si>
    <t>S-00196</t>
  </si>
  <si>
    <t>EGO Gear (split)</t>
  </si>
  <si>
    <t>S-00197</t>
  </si>
  <si>
    <t>Stihl MS291 - bad piston</t>
  </si>
  <si>
    <t>S-00198</t>
  </si>
  <si>
    <t>Stihl MS280 18" bar spare repair</t>
  </si>
  <si>
    <t>S-00199</t>
  </si>
  <si>
    <t>Stihl BG86c spares or repairs</t>
  </si>
  <si>
    <t>S-00200</t>
  </si>
  <si>
    <t>Stihl 021 Petrol Chainsaw spare repair</t>
  </si>
  <si>
    <t>S-00201</t>
  </si>
  <si>
    <t>S-00202</t>
  </si>
  <si>
    <t>Stihl MS211</t>
  </si>
  <si>
    <t>S-00203</t>
  </si>
  <si>
    <t>Stihl HS45 spares repairs</t>
  </si>
  <si>
    <t>S-00204</t>
  </si>
  <si>
    <t>Makita disc cutter</t>
  </si>
  <si>
    <t>S-00205</t>
  </si>
  <si>
    <t>3x Stihl BG86 Joblot</t>
  </si>
  <si>
    <t>S-00206</t>
  </si>
  <si>
    <t>Stihl MS210 Spares repair</t>
  </si>
  <si>
    <t>S-00207</t>
  </si>
  <si>
    <t>Stihl HS81r and HS45 Hedge Trimmers</t>
  </si>
  <si>
    <t>S-00208</t>
  </si>
  <si>
    <t>Stihl 017</t>
  </si>
  <si>
    <t>S-00209</t>
  </si>
  <si>
    <t>Hayter 56 Battery version, ryobi strimmer (split)</t>
  </si>
  <si>
    <t>S-00210</t>
  </si>
  <si>
    <t>Stihl MS250 Chainsaw, body only</t>
  </si>
  <si>
    <t>S-00211</t>
  </si>
  <si>
    <t>Stihl MS180 Chainsaw - Spares and repairs</t>
  </si>
  <si>
    <t>S-00212</t>
  </si>
  <si>
    <t xml:space="preserve">Stihl MS 390 - </t>
  </si>
  <si>
    <t>S-00213</t>
  </si>
  <si>
    <t>Stihl MS201 Chainsaw 2020</t>
  </si>
  <si>
    <t>S-00214</t>
  </si>
  <si>
    <t>Stihl MS200t Chainsaw - needs new carb</t>
  </si>
  <si>
    <t>S-00215</t>
  </si>
  <si>
    <t>Stihl MS251c Chainsaw</t>
  </si>
  <si>
    <t>S-00216</t>
  </si>
  <si>
    <t>Stihl KM94 - Spares/repairs</t>
  </si>
  <si>
    <t>S-00217</t>
  </si>
  <si>
    <t>Stihl MS211c Chainsaw Body Only</t>
  </si>
  <si>
    <t>S-00218</t>
  </si>
  <si>
    <t>Stihl SH86c Body only spares repairs</t>
  </si>
  <si>
    <t>S-00219</t>
  </si>
  <si>
    <t>Stihl MS181 Chainsaw with extras</t>
  </si>
  <si>
    <t>S-00220</t>
  </si>
  <si>
    <t>Stihl MS231/c Chainsaw spares or repairs</t>
  </si>
  <si>
    <t>S-00221</t>
  </si>
  <si>
    <t>Husqvarna 120 Mk2 2025</t>
  </si>
  <si>
    <t>Purchase Date</t>
  </si>
  <si>
    <t>Sale Date</t>
  </si>
  <si>
    <t>Sale Location</t>
  </si>
  <si>
    <t>Item</t>
  </si>
  <si>
    <t>Purchase Price</t>
  </si>
  <si>
    <t>Sale Price</t>
  </si>
  <si>
    <t>One fan in use at home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</si>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</sst>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4" formatCode="_-&quot;£&quot;* #,##0.00_-;\-&quot;£&quot;* #,##0.00_-;_-&quot;£&quot;* &quot;-&quot;??_-;_-@_-"/>
    <numFmt numFmtId="164" formatCode="&quot;£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44" fontId="3" fillId="0" borderId="0" xfId="1" applyFont="1"/>
    <xf numFmtId="44" fontId="3" fillId="0" borderId="0" xfId="0" applyNumberFormat="1" applyFont="1"/>
    <xf numFmtId="44" fontId="0" fillId="0" borderId="0" xfId="0" applyNumberFormat="1"/>
    <xf numFmtId="9" fontId="3" fillId="0" borderId="0" xfId="2" applyFont="1"/>
    <xf numFmtId="44" fontId="0" fillId="0" borderId="0" xfId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4" fontId="3" fillId="0" borderId="1" xfId="1" applyFont="1" applyBorder="1"/>
    <xf numFmtId="0" fontId="3" fillId="0" borderId="0" xfId="0" applyFont="1"/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4" fontId="0" fillId="0" borderId="0" xfId="1" applyFont="1" applyFill="1"/>
    <xf numFmtId="8" fontId="0" fillId="0" borderId="0" xfId="0" applyNumberFormat="1"/>
    <xf numFmtId="44" fontId="0" fillId="0" borderId="0" xfId="1" applyFont="1" applyAlignment="1">
      <alignment vertical="center"/>
    </xf>
    <xf numFmtId="44" fontId="0" fillId="2" borderId="0" xfId="1" applyFont="1" applyFill="1"/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44" fontId="0" fillId="3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</cellXfs>
  <cellStyles count="3">
    <cellStyle name="Currency" xfId="1" builtinId="4"/>
    <cellStyle name="Normal" xfId="0" builtinId="0"/>
    <cellStyle name="Per cent" xfId="2" builtinId="5"/>
  </cellStyles>
  <dxfs count="7">
    <dxf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Transactions" displayName="tblSalesTransactions" ref="A1:M222">
  <autoFilter ref="A1:M222" xr:uid="{00000000-0009-0000-0100-000001000000}"/>
  <tableColumns count="13">
    <tableColumn id="1" xr3:uid="{00000000-0010-0000-0000-000001000000}" name="OrderID"/>
    <tableColumn id="2" xr3:uid="{00000000-0010-0000-0000-000002000000}" name="PurchaseDate" dataDxfId="6"/>
    <tableColumn id="3" xr3:uid="{00000000-0010-0000-0000-000003000000}" name="SaleDate" dataDxfId="5"/>
    <tableColumn id="4" xr3:uid="{00000000-0010-0000-0000-000004000000}" name="Category"/>
    <tableColumn id="5" xr3:uid="{00000000-0010-0000-0000-000005000000}" name="Product"/>
    <tableColumn id="6" xr3:uid="{00000000-0010-0000-0000-000006000000}" name="SaleLocation" dataDxfId="4"/>
    <tableColumn id="7" xr3:uid="{00000000-0010-0000-0000-000007000000}" name="CustomerSegment"/>
    <tableColumn id="8" xr3:uid="{00000000-0010-0000-0000-000008000000}" name="Salesperson"/>
    <tableColumn id="9" xr3:uid="{00000000-0010-0000-0000-000009000000}" name="Units"/>
    <tableColumn id="10" xr3:uid="{00000000-0010-0000-0000-00000A000000}" name="UnitPrice" dataDxfId="3" dataCellStyle="Currency"/>
    <tableColumn id="11" xr3:uid="{00000000-0010-0000-0000-00000B000000}" name="Revenue" dataDxfId="2" dataCellStyle="Currency">
      <calculatedColumnFormula>tblSalesTransactions[[#This Row],[Units]]*tblSalesTransactions[[#This Row],[UnitPrice]]</calculatedColumnFormula>
    </tableColumn>
    <tableColumn id="12" xr3:uid="{00000000-0010-0000-0000-00000C000000}" name="Cost" dataDxfId="1" dataCellStyle="Currency"/>
    <tableColumn id="13" xr3:uid="{00000000-0010-0000-0000-00000D000000}" name="Profit" dataDxfId="0">
      <calculatedColumnFormula>tblSalesTransactions[[#This Row],[Revenue]]-tblSalesTransactions[[#This Row],[Cost]]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"/>
  <sheetViews>
    <sheetView tabSelected="1" workbookViewId="0"/>
  </sheetViews>
  <sheetFormatPr defaultRowHeight="15"/>
  <cols>
    <col min="1" max="1" width="12" customWidth="1"/>
    <col min="2" max="3" width="14" customWidth="1"/>
    <col min="4" max="4" width="16" customWidth="1"/>
    <col min="5" max="5" width="59.42578125" bestFit="1" customWidth="1"/>
    <col min="6" max="6" width="12" customWidth="1"/>
    <col min="7" max="8" width="16" customWidth="1"/>
    <col min="9" max="9" width="8" customWidth="1"/>
    <col min="10" max="10" width="11" customWidth="1"/>
    <col min="11" max="11" width="12" customWidth="1"/>
    <col min="12" max="13" width="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2">
        <v>46021</v>
      </c>
      <c r="C2" s="12">
        <v>46151</v>
      </c>
      <c r="E2" t="s">
        <v>14</v>
      </c>
      <c r="F2" s="12" t="s">
        <v>15</v>
      </c>
      <c r="I2">
        <v>1</v>
      </c>
      <c r="J2" s="7">
        <v>85</v>
      </c>
      <c r="K2" s="7">
        <f>tblSalesTransactions[[#This Row],[Units]]*tblSalesTransactions[[#This Row],[UnitPrice]]</f>
        <v>85</v>
      </c>
      <c r="L2" s="7">
        <v>38.54</v>
      </c>
      <c r="M2" s="1">
        <f>tblSalesTransactions[[#This Row],[Revenue]]-tblSalesTransactions[[#This Row],[Cost]]</f>
        <v>46.46</v>
      </c>
    </row>
    <row r="3" spans="1:13">
      <c r="A3" t="s">
        <v>16</v>
      </c>
      <c r="B3" s="12">
        <v>46084</v>
      </c>
      <c r="C3" s="12">
        <v>46095</v>
      </c>
      <c r="E3" t="s">
        <v>17</v>
      </c>
      <c r="F3" s="12" t="s">
        <v>18</v>
      </c>
      <c r="I3">
        <v>1</v>
      </c>
      <c r="J3" s="7">
        <v>50</v>
      </c>
      <c r="K3" s="7">
        <f>tblSalesTransactions[[#This Row],[Units]]*tblSalesTransactions[[#This Row],[UnitPrice]]</f>
        <v>50</v>
      </c>
      <c r="L3" s="7">
        <v>39.71</v>
      </c>
      <c r="M3" s="1">
        <f>tblSalesTransactions[[#This Row],[Revenue]]-tblSalesTransactions[[#This Row],[Cost]]</f>
        <v>10.29</v>
      </c>
    </row>
    <row r="4" spans="1:13">
      <c r="A4" t="s">
        <v>19</v>
      </c>
      <c r="B4" s="12">
        <v>46101</v>
      </c>
      <c r="C4" s="12">
        <v>46109</v>
      </c>
      <c r="E4" t="s">
        <v>17</v>
      </c>
      <c r="F4" s="12" t="s">
        <v>18</v>
      </c>
      <c r="I4">
        <v>1</v>
      </c>
      <c r="J4" s="7">
        <v>40</v>
      </c>
      <c r="K4" s="7">
        <f>tblSalesTransactions[[#This Row],[Units]]*tblSalesTransactions[[#This Row],[UnitPrice]]</f>
        <v>40</v>
      </c>
      <c r="L4" s="7">
        <v>29.99</v>
      </c>
      <c r="M4" s="1">
        <f>tblSalesTransactions[[#This Row],[Revenue]]-tblSalesTransactions[[#This Row],[Cost]]</f>
        <v>10.010000000000002</v>
      </c>
    </row>
    <row r="5" spans="1:13">
      <c r="A5" t="s">
        <v>20</v>
      </c>
      <c r="B5" s="12">
        <v>46104</v>
      </c>
      <c r="C5" s="12">
        <v>46109</v>
      </c>
      <c r="E5" t="s">
        <v>17</v>
      </c>
      <c r="F5" s="12" t="s">
        <v>18</v>
      </c>
      <c r="I5">
        <v>1</v>
      </c>
      <c r="J5" s="7">
        <v>45</v>
      </c>
      <c r="K5" s="7">
        <f>tblSalesTransactions[[#This Row],[Units]]*tblSalesTransactions[[#This Row],[UnitPrice]]</f>
        <v>45</v>
      </c>
      <c r="L5" s="7">
        <v>31.9</v>
      </c>
      <c r="M5" s="1">
        <f>tblSalesTransactions[[#This Row],[Revenue]]-tblSalesTransactions[[#This Row],[Cost]]</f>
        <v>13.100000000000001</v>
      </c>
    </row>
    <row r="6" spans="1:13">
      <c r="A6" t="s">
        <v>21</v>
      </c>
      <c r="B6" s="12">
        <v>46104</v>
      </c>
      <c r="C6" s="12">
        <v>46109</v>
      </c>
      <c r="E6" t="s">
        <v>17</v>
      </c>
      <c r="F6" s="12" t="s">
        <v>18</v>
      </c>
      <c r="I6">
        <v>1</v>
      </c>
      <c r="J6" s="7">
        <v>45</v>
      </c>
      <c r="K6" s="7">
        <f>tblSalesTransactions[[#This Row],[Units]]*tblSalesTransactions[[#This Row],[UnitPrice]]</f>
        <v>45</v>
      </c>
      <c r="L6" s="7">
        <v>40.520000000000003</v>
      </c>
      <c r="M6" s="1">
        <f>tblSalesTransactions[[#This Row],[Revenue]]-tblSalesTransactions[[#This Row],[Cost]]</f>
        <v>4.4799999999999969</v>
      </c>
    </row>
    <row r="7" spans="1:13">
      <c r="A7" t="s">
        <v>22</v>
      </c>
      <c r="B7" s="12">
        <v>46105</v>
      </c>
      <c r="C7" s="12">
        <v>46109</v>
      </c>
      <c r="E7" t="s">
        <v>17</v>
      </c>
      <c r="F7" s="12" t="s">
        <v>18</v>
      </c>
      <c r="I7">
        <v>1</v>
      </c>
      <c r="J7" s="7">
        <v>45</v>
      </c>
      <c r="K7" s="7">
        <f>tblSalesTransactions[[#This Row],[Units]]*tblSalesTransactions[[#This Row],[UnitPrice]]</f>
        <v>45</v>
      </c>
      <c r="L7" s="7">
        <v>41.99</v>
      </c>
      <c r="M7" s="1">
        <f>tblSalesTransactions[[#This Row],[Revenue]]-tblSalesTransactions[[#This Row],[Cost]]</f>
        <v>3.009999999999998</v>
      </c>
    </row>
    <row r="8" spans="1:13">
      <c r="A8" t="s">
        <v>23</v>
      </c>
      <c r="B8" s="12">
        <v>46105</v>
      </c>
      <c r="C8" s="12">
        <v>46109</v>
      </c>
      <c r="E8" t="s">
        <v>17</v>
      </c>
      <c r="F8" s="12" t="s">
        <v>18</v>
      </c>
      <c r="I8">
        <v>1</v>
      </c>
      <c r="J8" s="7">
        <v>45</v>
      </c>
      <c r="K8" s="7">
        <f>tblSalesTransactions[[#This Row],[Units]]*tblSalesTransactions[[#This Row],[UnitPrice]]</f>
        <v>45</v>
      </c>
      <c r="L8" s="7">
        <v>37.49</v>
      </c>
      <c r="M8" s="1">
        <f>tblSalesTransactions[[#This Row],[Revenue]]-tblSalesTransactions[[#This Row],[Cost]]</f>
        <v>7.509999999999998</v>
      </c>
    </row>
    <row r="9" spans="1:13">
      <c r="A9" t="s">
        <v>24</v>
      </c>
      <c r="B9" s="12">
        <v>46105</v>
      </c>
      <c r="C9" s="12">
        <v>46109</v>
      </c>
      <c r="E9" t="s">
        <v>17</v>
      </c>
      <c r="F9" s="12" t="s">
        <v>18</v>
      </c>
      <c r="I9">
        <v>1</v>
      </c>
      <c r="J9" s="7">
        <v>45</v>
      </c>
      <c r="K9" s="7">
        <f>tblSalesTransactions[[#This Row],[Units]]*tblSalesTransactions[[#This Row],[UnitPrice]]</f>
        <v>45</v>
      </c>
      <c r="L9" s="7">
        <v>37.049999999999997</v>
      </c>
      <c r="M9" s="1">
        <f>tblSalesTransactions[[#This Row],[Revenue]]-tblSalesTransactions[[#This Row],[Cost]]</f>
        <v>7.9500000000000028</v>
      </c>
    </row>
    <row r="10" spans="1:13">
      <c r="A10" t="s">
        <v>25</v>
      </c>
      <c r="B10" s="12">
        <v>46100</v>
      </c>
      <c r="C10" s="12">
        <v>46102</v>
      </c>
      <c r="E10" t="s">
        <v>26</v>
      </c>
      <c r="F10" s="12" t="s">
        <v>18</v>
      </c>
      <c r="I10">
        <v>1</v>
      </c>
      <c r="J10" s="7">
        <v>15</v>
      </c>
      <c r="K10" s="7">
        <f>tblSalesTransactions[[#This Row],[Units]]*tblSalesTransactions[[#This Row],[UnitPrice]]</f>
        <v>15</v>
      </c>
      <c r="L10" s="7">
        <v>46.65</v>
      </c>
      <c r="M10" s="1">
        <f>tblSalesTransactions[[#This Row],[Revenue]]-tblSalesTransactions[[#This Row],[Cost]]</f>
        <v>-31.65</v>
      </c>
    </row>
    <row r="11" spans="1:13">
      <c r="A11" t="s">
        <v>27</v>
      </c>
      <c r="B11" s="12">
        <v>46090</v>
      </c>
      <c r="C11" s="12">
        <v>46095</v>
      </c>
      <c r="E11" t="s">
        <v>28</v>
      </c>
      <c r="F11" s="12" t="s">
        <v>18</v>
      </c>
      <c r="I11">
        <v>1</v>
      </c>
      <c r="J11" s="7">
        <v>100</v>
      </c>
      <c r="K11" s="7">
        <f>tblSalesTransactions[[#This Row],[Units]]*tblSalesTransactions[[#This Row],[UnitPrice]]</f>
        <v>100</v>
      </c>
      <c r="L11" s="7">
        <v>85</v>
      </c>
      <c r="M11" s="1">
        <f>tblSalesTransactions[[#This Row],[Revenue]]-tblSalesTransactions[[#This Row],[Cost]]</f>
        <v>15</v>
      </c>
    </row>
    <row r="12" spans="1:13">
      <c r="A12" t="s">
        <v>29</v>
      </c>
      <c r="B12" s="12">
        <v>46102</v>
      </c>
      <c r="C12" s="12"/>
      <c r="E12" t="s">
        <v>30</v>
      </c>
      <c r="F12" s="2"/>
      <c r="I12">
        <v>1</v>
      </c>
      <c r="J12" s="7">
        <v>28.17</v>
      </c>
      <c r="K12" s="7">
        <f>tblSalesTransactions[[#This Row],[Units]]*tblSalesTransactions[[#This Row],[UnitPrice]]</f>
        <v>28.17</v>
      </c>
      <c r="L12" s="7">
        <v>30</v>
      </c>
      <c r="M12" s="1">
        <f>tblSalesTransactions[[#This Row],[Revenue]]-tblSalesTransactions[[#This Row],[Cost]]</f>
        <v>-1.8299999999999983</v>
      </c>
    </row>
    <row r="13" spans="1:13">
      <c r="A13" t="s">
        <v>31</v>
      </c>
      <c r="B13" s="12">
        <v>45931</v>
      </c>
      <c r="C13" s="12">
        <v>46102</v>
      </c>
      <c r="E13" t="s">
        <v>32</v>
      </c>
      <c r="F13" s="12" t="s">
        <v>18</v>
      </c>
      <c r="I13">
        <v>1</v>
      </c>
      <c r="J13" s="7">
        <v>100</v>
      </c>
      <c r="K13" s="7">
        <f>tblSalesTransactions[[#This Row],[Units]]*tblSalesTransactions[[#This Row],[UnitPrice]]</f>
        <v>100</v>
      </c>
      <c r="L13" s="7">
        <v>50</v>
      </c>
      <c r="M13" s="1">
        <f>tblSalesTransactions[[#This Row],[Revenue]]-tblSalesTransactions[[#This Row],[Cost]]</f>
        <v>50</v>
      </c>
    </row>
    <row r="14" spans="1:13">
      <c r="A14" t="s">
        <v>33</v>
      </c>
      <c r="B14" s="12">
        <v>45931</v>
      </c>
      <c r="C14" s="12">
        <v>46102</v>
      </c>
      <c r="E14" t="s">
        <v>34</v>
      </c>
      <c r="F14" s="12" t="s">
        <v>18</v>
      </c>
      <c r="I14">
        <v>1</v>
      </c>
      <c r="J14" s="7">
        <v>50</v>
      </c>
      <c r="K14" s="7">
        <f>tblSalesTransactions[[#This Row],[Units]]*tblSalesTransactions[[#This Row],[UnitPrice]]</f>
        <v>50</v>
      </c>
      <c r="L14" s="7">
        <v>40</v>
      </c>
      <c r="M14" s="1">
        <f>tblSalesTransactions[[#This Row],[Revenue]]-tblSalesTransactions[[#This Row],[Cost]]</f>
        <v>10</v>
      </c>
    </row>
    <row r="15" spans="1:13">
      <c r="A15" t="s">
        <v>35</v>
      </c>
      <c r="B15" s="12">
        <v>46100</v>
      </c>
      <c r="C15" s="12">
        <v>46102</v>
      </c>
      <c r="E15" t="s">
        <v>36</v>
      </c>
      <c r="F15" s="12" t="s">
        <v>18</v>
      </c>
      <c r="I15">
        <v>1</v>
      </c>
      <c r="J15" s="7">
        <v>55</v>
      </c>
      <c r="K15" s="7">
        <f>tblSalesTransactions[[#This Row],[Units]]*tblSalesTransactions[[#This Row],[UnitPrice]]</f>
        <v>55</v>
      </c>
      <c r="L15" s="7">
        <v>50</v>
      </c>
      <c r="M15" s="1">
        <f>tblSalesTransactions[[#This Row],[Revenue]]-tblSalesTransactions[[#This Row],[Cost]]</f>
        <v>5</v>
      </c>
    </row>
    <row r="16" spans="1:13">
      <c r="A16" t="s">
        <v>37</v>
      </c>
      <c r="B16" s="12">
        <v>46095</v>
      </c>
      <c r="C16" s="12">
        <v>46102</v>
      </c>
      <c r="E16" t="s">
        <v>38</v>
      </c>
      <c r="F16" s="12" t="s">
        <v>18</v>
      </c>
      <c r="I16">
        <v>1</v>
      </c>
      <c r="J16" s="7">
        <v>30</v>
      </c>
      <c r="K16" s="7">
        <f>tblSalesTransactions[[#This Row],[Units]]*tblSalesTransactions[[#This Row],[UnitPrice]]</f>
        <v>30</v>
      </c>
      <c r="L16" s="7">
        <v>25</v>
      </c>
      <c r="M16" s="1">
        <f>tblSalesTransactions[[#This Row],[Revenue]]-tblSalesTransactions[[#This Row],[Cost]]</f>
        <v>5</v>
      </c>
    </row>
    <row r="17" spans="1:13">
      <c r="A17" t="s">
        <v>39</v>
      </c>
      <c r="B17" s="12">
        <v>45953</v>
      </c>
      <c r="C17" s="12"/>
      <c r="E17" t="s">
        <v>40</v>
      </c>
      <c r="F17" s="2" t="s">
        <v>41</v>
      </c>
      <c r="I17">
        <v>1</v>
      </c>
      <c r="J17" s="7">
        <v>63</v>
      </c>
      <c r="K17" s="7">
        <f>tblSalesTransactions[[#This Row],[Units]]*tblSalesTransactions[[#This Row],[UnitPrice]]</f>
        <v>63</v>
      </c>
      <c r="L17" s="7">
        <v>70</v>
      </c>
      <c r="M17" s="1">
        <f>tblSalesTransactions[[#This Row],[Revenue]]-tblSalesTransactions[[#This Row],[Cost]]</f>
        <v>-7</v>
      </c>
    </row>
    <row r="18" spans="1:13">
      <c r="A18" t="s">
        <v>42</v>
      </c>
      <c r="B18" s="12">
        <v>45953</v>
      </c>
      <c r="C18" s="12">
        <v>46130</v>
      </c>
      <c r="E18" t="s">
        <v>43</v>
      </c>
      <c r="F18" s="2" t="s">
        <v>18</v>
      </c>
      <c r="I18">
        <v>1</v>
      </c>
      <c r="J18" s="7">
        <v>50</v>
      </c>
      <c r="K18" s="7">
        <f>tblSalesTransactions[[#This Row],[Units]]*tblSalesTransactions[[#This Row],[UnitPrice]]</f>
        <v>50</v>
      </c>
      <c r="L18" s="7">
        <v>50</v>
      </c>
      <c r="M18" s="1">
        <f>tblSalesTransactions[[#This Row],[Revenue]]-tblSalesTransactions[[#This Row],[Cost]]</f>
        <v>0</v>
      </c>
    </row>
    <row r="19" spans="1:13">
      <c r="A19" t="s">
        <v>44</v>
      </c>
      <c r="B19" s="12">
        <v>45931</v>
      </c>
      <c r="C19" s="12">
        <v>45931</v>
      </c>
      <c r="E19" t="s">
        <v>45</v>
      </c>
      <c r="F19" s="12" t="s">
        <v>18</v>
      </c>
      <c r="I19">
        <v>1</v>
      </c>
      <c r="J19" s="7">
        <v>60</v>
      </c>
      <c r="K19" s="7">
        <f>tblSalesTransactions[[#This Row],[Units]]*tblSalesTransactions[[#This Row],[UnitPrice]]</f>
        <v>60</v>
      </c>
      <c r="L19" s="7">
        <v>30</v>
      </c>
      <c r="M19" s="1">
        <f>tblSalesTransactions[[#This Row],[Revenue]]-tblSalesTransactions[[#This Row],[Cost]]</f>
        <v>30</v>
      </c>
    </row>
    <row r="20" spans="1:13">
      <c r="A20" t="s">
        <v>46</v>
      </c>
      <c r="B20" s="12">
        <v>46100</v>
      </c>
      <c r="C20" s="12">
        <v>46123</v>
      </c>
      <c r="E20" t="s">
        <v>47</v>
      </c>
      <c r="F20" s="2" t="s">
        <v>18</v>
      </c>
      <c r="I20">
        <v>1</v>
      </c>
      <c r="J20" s="7">
        <v>105</v>
      </c>
      <c r="K20" s="7">
        <f>tblSalesTransactions[[#This Row],[Units]]*tblSalesTransactions[[#This Row],[UnitPrice]]</f>
        <v>105</v>
      </c>
      <c r="L20" s="7">
        <v>60</v>
      </c>
      <c r="M20" s="1">
        <f>tblSalesTransactions[[#This Row],[Revenue]]-tblSalesTransactions[[#This Row],[Cost]]</f>
        <v>45</v>
      </c>
    </row>
    <row r="21" spans="1:13">
      <c r="A21" t="s">
        <v>48</v>
      </c>
      <c r="B21" s="12">
        <v>46102</v>
      </c>
      <c r="C21" s="12">
        <v>46123</v>
      </c>
      <c r="E21" t="s">
        <v>49</v>
      </c>
      <c r="F21" s="2" t="s">
        <v>18</v>
      </c>
      <c r="I21">
        <v>1</v>
      </c>
      <c r="J21" s="7">
        <v>105</v>
      </c>
      <c r="K21" s="7">
        <f>tblSalesTransactions[[#This Row],[Units]]*tblSalesTransactions[[#This Row],[UnitPrice]]</f>
        <v>105</v>
      </c>
      <c r="L21" s="7">
        <v>50</v>
      </c>
      <c r="M21" s="1">
        <f>tblSalesTransactions[[#This Row],[Revenue]]-tblSalesTransactions[[#This Row],[Cost]]</f>
        <v>55</v>
      </c>
    </row>
    <row r="22" spans="1:13">
      <c r="A22" t="s">
        <v>50</v>
      </c>
      <c r="B22" s="12">
        <v>46102</v>
      </c>
      <c r="C22" s="12">
        <v>46158</v>
      </c>
      <c r="E22" t="s">
        <v>51</v>
      </c>
      <c r="F22" s="2" t="s">
        <v>18</v>
      </c>
      <c r="I22">
        <v>1</v>
      </c>
      <c r="J22" s="7">
        <v>70</v>
      </c>
      <c r="K22" s="7">
        <f>tblSalesTransactions[[#This Row],[Units]]*tblSalesTransactions[[#This Row],[UnitPrice]]</f>
        <v>70</v>
      </c>
      <c r="L22" s="7">
        <v>40</v>
      </c>
      <c r="M22" s="1">
        <f>tblSalesTransactions[[#This Row],[Revenue]]-tblSalesTransactions[[#This Row],[Cost]]</f>
        <v>30</v>
      </c>
    </row>
    <row r="23" spans="1:13">
      <c r="A23" t="s">
        <v>52</v>
      </c>
      <c r="B23" s="12">
        <v>46102</v>
      </c>
      <c r="C23" s="12">
        <v>46130</v>
      </c>
      <c r="E23" t="s">
        <v>53</v>
      </c>
      <c r="F23" s="2" t="s">
        <v>18</v>
      </c>
      <c r="I23">
        <v>1</v>
      </c>
      <c r="J23" s="7">
        <v>40</v>
      </c>
      <c r="K23" s="7">
        <f>tblSalesTransactions[[#This Row],[Units]]*tblSalesTransactions[[#This Row],[UnitPrice]]</f>
        <v>40</v>
      </c>
      <c r="L23" s="7">
        <v>40</v>
      </c>
      <c r="M23" s="1">
        <f>tblSalesTransactions[[#This Row],[Revenue]]-tblSalesTransactions[[#This Row],[Cost]]</f>
        <v>0</v>
      </c>
    </row>
    <row r="24" spans="1:13">
      <c r="A24" t="s">
        <v>54</v>
      </c>
      <c r="B24" s="12">
        <v>45778</v>
      </c>
      <c r="C24" s="12">
        <v>46158</v>
      </c>
      <c r="E24" t="s">
        <v>55</v>
      </c>
      <c r="F24" s="2" t="s">
        <v>15</v>
      </c>
      <c r="I24">
        <v>1</v>
      </c>
      <c r="J24" s="7">
        <v>100</v>
      </c>
      <c r="K24" s="7">
        <f>tblSalesTransactions[[#This Row],[Units]]*tblSalesTransactions[[#This Row],[UnitPrice]]</f>
        <v>100</v>
      </c>
      <c r="L24" s="7">
        <v>25</v>
      </c>
      <c r="M24" s="1">
        <f>tblSalesTransactions[[#This Row],[Revenue]]-tblSalesTransactions[[#This Row],[Cost]]</f>
        <v>75</v>
      </c>
    </row>
    <row r="25" spans="1:13">
      <c r="A25" t="s">
        <v>56</v>
      </c>
      <c r="B25" s="12">
        <v>46100</v>
      </c>
      <c r="C25" s="12">
        <v>46143</v>
      </c>
      <c r="E25" t="s">
        <v>57</v>
      </c>
      <c r="F25" s="2" t="s">
        <v>58</v>
      </c>
      <c r="I25">
        <v>1</v>
      </c>
      <c r="J25" s="7">
        <v>30</v>
      </c>
      <c r="K25" s="7">
        <f>tblSalesTransactions[[#This Row],[Units]]*tblSalesTransactions[[#This Row],[UnitPrice]]</f>
        <v>30</v>
      </c>
      <c r="L25" s="20">
        <f>85/3</f>
        <v>28.333333333333332</v>
      </c>
      <c r="M25" s="1">
        <f>tblSalesTransactions[[#This Row],[Revenue]]-tblSalesTransactions[[#This Row],[Cost]]</f>
        <v>1.6666666666666679</v>
      </c>
    </row>
    <row r="26" spans="1:13">
      <c r="A26" t="s">
        <v>59</v>
      </c>
      <c r="B26" s="12">
        <v>46100</v>
      </c>
      <c r="C26" s="12">
        <v>46143</v>
      </c>
      <c r="E26" t="s">
        <v>60</v>
      </c>
      <c r="F26" s="2" t="s">
        <v>58</v>
      </c>
      <c r="I26">
        <v>1</v>
      </c>
      <c r="J26" s="7">
        <v>30</v>
      </c>
      <c r="K26" s="7">
        <f>tblSalesTransactions[[#This Row],[Units]]*tblSalesTransactions[[#This Row],[UnitPrice]]</f>
        <v>30</v>
      </c>
      <c r="L26" s="20">
        <f t="shared" ref="L26:L27" si="0">85/3</f>
        <v>28.333333333333332</v>
      </c>
      <c r="M26" s="1">
        <f>tblSalesTransactions[[#This Row],[Revenue]]-tblSalesTransactions[[#This Row],[Cost]]</f>
        <v>1.6666666666666679</v>
      </c>
    </row>
    <row r="27" spans="1:13">
      <c r="A27" t="s">
        <v>61</v>
      </c>
      <c r="B27" s="12">
        <v>46100</v>
      </c>
      <c r="C27" s="12"/>
      <c r="E27" t="s">
        <v>62</v>
      </c>
      <c r="F27" s="2"/>
      <c r="I27">
        <v>1</v>
      </c>
      <c r="J27" s="7"/>
      <c r="K27" s="7">
        <f>tblSalesTransactions[[#This Row],[Units]]*tblSalesTransactions[[#This Row],[UnitPrice]]</f>
        <v>0</v>
      </c>
      <c r="L27" s="20">
        <f t="shared" si="0"/>
        <v>28.333333333333332</v>
      </c>
      <c r="M27" s="1">
        <f>tblSalesTransactions[[#This Row],[Revenue]]-tblSalesTransactions[[#This Row],[Cost]]</f>
        <v>-28.333333333333332</v>
      </c>
    </row>
    <row r="28" spans="1:13">
      <c r="A28" t="s">
        <v>63</v>
      </c>
      <c r="B28" s="12">
        <v>46100</v>
      </c>
      <c r="C28" s="12">
        <v>46173</v>
      </c>
      <c r="E28" t="s">
        <v>64</v>
      </c>
      <c r="F28" s="2" t="s">
        <v>58</v>
      </c>
      <c r="I28">
        <v>1</v>
      </c>
      <c r="J28" s="7">
        <v>140</v>
      </c>
      <c r="K28" s="7">
        <f>tblSalesTransactions[[#This Row],[Units]]*tblSalesTransactions[[#This Row],[UnitPrice]]</f>
        <v>140</v>
      </c>
      <c r="L28" s="7">
        <v>100</v>
      </c>
      <c r="M28" s="1">
        <f>tblSalesTransactions[[#This Row],[Revenue]]-tblSalesTransactions[[#This Row],[Cost]]</f>
        <v>40</v>
      </c>
    </row>
    <row r="29" spans="1:13">
      <c r="A29" t="s">
        <v>65</v>
      </c>
      <c r="B29" s="12">
        <v>45839</v>
      </c>
      <c r="C29" s="12">
        <v>46096</v>
      </c>
      <c r="E29" t="s">
        <v>66</v>
      </c>
      <c r="F29" s="12" t="s">
        <v>18</v>
      </c>
      <c r="I29">
        <v>1</v>
      </c>
      <c r="J29" s="18">
        <v>180</v>
      </c>
      <c r="K29" s="7">
        <f>tblSalesTransactions[[#This Row],[Units]]*tblSalesTransactions[[#This Row],[UnitPrice]]</f>
        <v>180</v>
      </c>
      <c r="L29" s="7">
        <v>70</v>
      </c>
      <c r="M29" s="1">
        <f>tblSalesTransactions[[#This Row],[Revenue]]-tblSalesTransactions[[#This Row],[Cost]]</f>
        <v>110</v>
      </c>
    </row>
    <row r="30" spans="1:13">
      <c r="A30" t="s">
        <v>67</v>
      </c>
      <c r="B30" s="12">
        <v>45901</v>
      </c>
      <c r="C30" s="12">
        <v>46096</v>
      </c>
      <c r="E30" t="s">
        <v>68</v>
      </c>
      <c r="F30" s="12" t="s">
        <v>18</v>
      </c>
      <c r="I30">
        <v>1</v>
      </c>
      <c r="J30" s="18"/>
      <c r="K30" s="7">
        <f>tblSalesTransactions[[#This Row],[Units]]*tblSalesTransactions[[#This Row],[UnitPrice]]</f>
        <v>0</v>
      </c>
      <c r="L30" s="7">
        <v>20</v>
      </c>
      <c r="M30" s="1">
        <f>tblSalesTransactions[[#This Row],[Revenue]]-tblSalesTransactions[[#This Row],[Cost]]</f>
        <v>-20</v>
      </c>
    </row>
    <row r="31" spans="1:13">
      <c r="A31" t="s">
        <v>69</v>
      </c>
      <c r="B31" s="12">
        <v>46105</v>
      </c>
      <c r="C31" s="12">
        <v>46120</v>
      </c>
      <c r="E31" t="s">
        <v>17</v>
      </c>
      <c r="F31" s="12" t="s">
        <v>70</v>
      </c>
      <c r="I31">
        <v>1</v>
      </c>
      <c r="J31" s="7">
        <v>50</v>
      </c>
      <c r="K31" s="7">
        <f>tblSalesTransactions[[#This Row],[Units]]*tblSalesTransactions[[#This Row],[UnitPrice]]</f>
        <v>50</v>
      </c>
      <c r="L31" s="7">
        <v>40.21</v>
      </c>
      <c r="M31" s="1">
        <f>tblSalesTransactions[[#This Row],[Revenue]]-tblSalesTransactions[[#This Row],[Cost]]</f>
        <v>9.7899999999999991</v>
      </c>
    </row>
    <row r="32" spans="1:13">
      <c r="A32" t="s">
        <v>71</v>
      </c>
      <c r="B32" s="12">
        <v>46102</v>
      </c>
      <c r="C32" s="12"/>
      <c r="E32" t="s">
        <v>72</v>
      </c>
      <c r="F32" s="12"/>
      <c r="I32">
        <v>1</v>
      </c>
      <c r="J32" s="7"/>
      <c r="K32" s="7">
        <f>tblSalesTransactions[[#This Row],[Units]]*tblSalesTransactions[[#This Row],[UnitPrice]]</f>
        <v>0</v>
      </c>
      <c r="L32" s="7">
        <v>20</v>
      </c>
      <c r="M32" s="1">
        <f>tblSalesTransactions[[#This Row],[Revenue]]-tblSalesTransactions[[#This Row],[Cost]]</f>
        <v>-20</v>
      </c>
    </row>
    <row r="33" spans="1:13">
      <c r="A33" t="s">
        <v>73</v>
      </c>
      <c r="B33" s="12">
        <v>46088</v>
      </c>
      <c r="C33" s="12"/>
      <c r="E33" t="s">
        <v>74</v>
      </c>
      <c r="F33" s="2" t="s">
        <v>75</v>
      </c>
      <c r="I33">
        <v>1</v>
      </c>
      <c r="J33" s="7">
        <v>30</v>
      </c>
      <c r="K33" s="7">
        <f>tblSalesTransactions[[#This Row],[Units]]*tblSalesTransactions[[#This Row],[UnitPrice]]</f>
        <v>30</v>
      </c>
      <c r="L33" s="7">
        <v>10</v>
      </c>
      <c r="M33" s="1">
        <f>tblSalesTransactions[[#This Row],[Revenue]]-tblSalesTransactions[[#This Row],[Cost]]</f>
        <v>20</v>
      </c>
    </row>
    <row r="34" spans="1:13">
      <c r="A34" t="s">
        <v>76</v>
      </c>
      <c r="B34" s="12">
        <v>46109</v>
      </c>
      <c r="C34" s="12">
        <v>46109</v>
      </c>
      <c r="E34" t="s">
        <v>77</v>
      </c>
      <c r="F34" s="2" t="s">
        <v>18</v>
      </c>
      <c r="I34">
        <v>1</v>
      </c>
      <c r="J34" s="7">
        <v>80</v>
      </c>
      <c r="K34" s="7">
        <f>tblSalesTransactions[[#This Row],[Units]]*tblSalesTransactions[[#This Row],[UnitPrice]]</f>
        <v>80</v>
      </c>
      <c r="L34" s="7">
        <v>100</v>
      </c>
      <c r="M34" s="1">
        <f>tblSalesTransactions[[#This Row],[Revenue]]-tblSalesTransactions[[#This Row],[Cost]]</f>
        <v>-20</v>
      </c>
    </row>
    <row r="35" spans="1:13">
      <c r="A35" t="s">
        <v>78</v>
      </c>
      <c r="B35" s="12">
        <v>46109</v>
      </c>
      <c r="C35" s="12">
        <v>46139</v>
      </c>
      <c r="E35" t="s">
        <v>79</v>
      </c>
      <c r="F35" s="2" t="s">
        <v>41</v>
      </c>
      <c r="I35">
        <v>1</v>
      </c>
      <c r="J35" s="7">
        <v>10</v>
      </c>
      <c r="K35" s="7">
        <f>tblSalesTransactions[[#This Row],[Units]]*tblSalesTransactions[[#This Row],[UnitPrice]]</f>
        <v>10</v>
      </c>
      <c r="L35" s="7">
        <v>5</v>
      </c>
      <c r="M35" s="1">
        <f>tblSalesTransactions[[#This Row],[Revenue]]-tblSalesTransactions[[#This Row],[Cost]]</f>
        <v>5</v>
      </c>
    </row>
    <row r="36" spans="1:13">
      <c r="A36" t="s">
        <v>80</v>
      </c>
      <c r="B36" s="12">
        <v>46107</v>
      </c>
      <c r="C36" s="12">
        <v>46120</v>
      </c>
      <c r="E36" t="s">
        <v>17</v>
      </c>
      <c r="F36" s="12" t="s">
        <v>70</v>
      </c>
      <c r="I36">
        <v>1</v>
      </c>
      <c r="J36" s="7">
        <v>45</v>
      </c>
      <c r="K36" s="7">
        <f>tblSalesTransactions[[#This Row],[Units]]*tblSalesTransactions[[#This Row],[UnitPrice]]</f>
        <v>45</v>
      </c>
      <c r="L36" s="7">
        <v>38.44</v>
      </c>
      <c r="M36" s="1">
        <f>tblSalesTransactions[[#This Row],[Revenue]]-tblSalesTransactions[[#This Row],[Cost]]</f>
        <v>6.5600000000000023</v>
      </c>
    </row>
    <row r="37" spans="1:13">
      <c r="A37" t="s">
        <v>81</v>
      </c>
      <c r="B37" s="12">
        <v>46108</v>
      </c>
      <c r="C37" s="12">
        <v>46120</v>
      </c>
      <c r="E37" t="s">
        <v>17</v>
      </c>
      <c r="F37" s="12" t="s">
        <v>70</v>
      </c>
      <c r="I37">
        <v>1</v>
      </c>
      <c r="J37" s="7">
        <v>45</v>
      </c>
      <c r="K37" s="7">
        <f>tblSalesTransactions[[#This Row],[Units]]*tblSalesTransactions[[#This Row],[UnitPrice]]</f>
        <v>45</v>
      </c>
      <c r="L37" s="7">
        <v>35.21</v>
      </c>
      <c r="M37" s="1">
        <f>tblSalesTransactions[[#This Row],[Revenue]]-tblSalesTransactions[[#This Row],[Cost]]</f>
        <v>9.7899999999999991</v>
      </c>
    </row>
    <row r="38" spans="1:13">
      <c r="A38" t="s">
        <v>82</v>
      </c>
      <c r="B38" s="12">
        <v>46108</v>
      </c>
      <c r="C38" s="12">
        <v>46120</v>
      </c>
      <c r="E38" t="s">
        <v>17</v>
      </c>
      <c r="F38" s="12" t="s">
        <v>70</v>
      </c>
      <c r="I38">
        <v>1</v>
      </c>
      <c r="J38" s="7">
        <v>45</v>
      </c>
      <c r="K38" s="7">
        <f>tblSalesTransactions[[#This Row],[Units]]*tblSalesTransactions[[#This Row],[UnitPrice]]</f>
        <v>45</v>
      </c>
      <c r="L38" s="7">
        <v>30.12</v>
      </c>
      <c r="M38" s="1">
        <f>tblSalesTransactions[[#This Row],[Revenue]]-tblSalesTransactions[[#This Row],[Cost]]</f>
        <v>14.879999999999999</v>
      </c>
    </row>
    <row r="39" spans="1:13">
      <c r="A39" t="s">
        <v>83</v>
      </c>
      <c r="B39" s="12">
        <v>46112</v>
      </c>
      <c r="C39" s="12">
        <v>46120</v>
      </c>
      <c r="E39" t="s">
        <v>84</v>
      </c>
      <c r="F39" s="12" t="s">
        <v>70</v>
      </c>
      <c r="I39">
        <v>1</v>
      </c>
      <c r="J39" s="7">
        <f>45*8</f>
        <v>360</v>
      </c>
      <c r="K39" s="7">
        <f>tblSalesTransactions[[#This Row],[Units]]*tblSalesTransactions[[#This Row],[UnitPrice]]</f>
        <v>360</v>
      </c>
      <c r="L39" s="7">
        <v>207.8</v>
      </c>
      <c r="M39" s="1">
        <f>tblSalesTransactions[[#This Row],[Revenue]]-tblSalesTransactions[[#This Row],[Cost]]</f>
        <v>152.19999999999999</v>
      </c>
    </row>
    <row r="40" spans="1:13">
      <c r="A40" t="s">
        <v>85</v>
      </c>
      <c r="B40" s="12">
        <v>45931</v>
      </c>
      <c r="C40" s="12"/>
      <c r="E40" t="s">
        <v>86</v>
      </c>
      <c r="F40" s="2" t="s">
        <v>15</v>
      </c>
      <c r="I40">
        <v>1</v>
      </c>
      <c r="J40" s="14">
        <v>74</v>
      </c>
      <c r="K40" s="7">
        <f>tblSalesTransactions[[#This Row],[Units]]*tblSalesTransactions[[#This Row],[UnitPrice]]</f>
        <v>74</v>
      </c>
      <c r="L40" s="7">
        <v>40</v>
      </c>
      <c r="M40" s="1">
        <f>tblSalesTransactions[[#This Row],[Revenue]]-tblSalesTransactions[[#This Row],[Cost]]</f>
        <v>34</v>
      </c>
    </row>
    <row r="41" spans="1:13">
      <c r="A41" t="s">
        <v>87</v>
      </c>
      <c r="B41" s="12">
        <v>46113</v>
      </c>
      <c r="C41" s="12"/>
      <c r="E41" t="s">
        <v>88</v>
      </c>
      <c r="F41" s="2"/>
      <c r="I41">
        <v>1</v>
      </c>
      <c r="J41" s="7"/>
      <c r="K41" s="7">
        <f>tblSalesTransactions[[#This Row],[Units]]*tblSalesTransactions[[#This Row],[UnitPrice]]</f>
        <v>0</v>
      </c>
      <c r="L41" s="7">
        <v>60</v>
      </c>
      <c r="M41" s="1">
        <f>tblSalesTransactions[[#This Row],[Revenue]]-tblSalesTransactions[[#This Row],[Cost]]</f>
        <v>-60</v>
      </c>
    </row>
    <row r="42" spans="1:13">
      <c r="A42" t="s">
        <v>89</v>
      </c>
      <c r="B42" s="12">
        <v>46113</v>
      </c>
      <c r="C42" s="12"/>
      <c r="E42" t="s">
        <v>90</v>
      </c>
      <c r="F42" s="2" t="s">
        <v>18</v>
      </c>
      <c r="I42">
        <v>1</v>
      </c>
      <c r="J42" s="7">
        <v>90</v>
      </c>
      <c r="K42" s="7">
        <f>tblSalesTransactions[[#This Row],[Units]]*tblSalesTransactions[[#This Row],[UnitPrice]]</f>
        <v>90</v>
      </c>
      <c r="L42" s="7">
        <v>60</v>
      </c>
      <c r="M42" s="1">
        <f>tblSalesTransactions[[#This Row],[Revenue]]-tblSalesTransactions[[#This Row],[Cost]]</f>
        <v>30</v>
      </c>
    </row>
    <row r="43" spans="1:13">
      <c r="A43" t="s">
        <v>91</v>
      </c>
      <c r="B43" s="12">
        <v>46105</v>
      </c>
      <c r="C43" s="12"/>
      <c r="E43" t="s">
        <v>92</v>
      </c>
      <c r="F43" s="2" t="s">
        <v>15</v>
      </c>
      <c r="I43">
        <v>1</v>
      </c>
      <c r="J43" s="7">
        <v>74</v>
      </c>
      <c r="K43" s="7">
        <f>tblSalesTransactions[[#This Row],[Units]]*tblSalesTransactions[[#This Row],[UnitPrice]]</f>
        <v>74</v>
      </c>
      <c r="L43" s="7">
        <v>40</v>
      </c>
      <c r="M43" s="1">
        <f>tblSalesTransactions[[#This Row],[Revenue]]-tblSalesTransactions[[#This Row],[Cost]]</f>
        <v>34</v>
      </c>
    </row>
    <row r="44" spans="1:13">
      <c r="A44" t="s">
        <v>93</v>
      </c>
      <c r="B44" s="12">
        <v>46105</v>
      </c>
      <c r="C44" s="12">
        <v>46151</v>
      </c>
      <c r="E44" t="s">
        <v>94</v>
      </c>
      <c r="F44" s="2" t="s">
        <v>18</v>
      </c>
      <c r="I44">
        <v>1</v>
      </c>
      <c r="J44" s="7">
        <v>45</v>
      </c>
      <c r="K44" s="7">
        <f>tblSalesTransactions[[#This Row],[Units]]*tblSalesTransactions[[#This Row],[UnitPrice]]</f>
        <v>45</v>
      </c>
      <c r="L44" s="18">
        <v>70</v>
      </c>
      <c r="M44" s="1">
        <f>tblSalesTransactions[[#This Row],[Revenue]]-tblSalesTransactions[[#This Row],[Cost]]</f>
        <v>-25</v>
      </c>
    </row>
    <row r="45" spans="1:13">
      <c r="A45" t="s">
        <v>95</v>
      </c>
      <c r="B45" s="12">
        <v>46105</v>
      </c>
      <c r="C45" s="12">
        <v>46151</v>
      </c>
      <c r="E45" t="s">
        <v>96</v>
      </c>
      <c r="F45" s="2" t="s">
        <v>18</v>
      </c>
      <c r="I45">
        <v>1</v>
      </c>
      <c r="J45" s="7">
        <v>35</v>
      </c>
      <c r="K45" s="7">
        <f>tblSalesTransactions[[#This Row],[Units]]*tblSalesTransactions[[#This Row],[UnitPrice]]</f>
        <v>35</v>
      </c>
      <c r="L45" s="18"/>
      <c r="M45" s="1">
        <f>tblSalesTransactions[[#This Row],[Revenue]]-tblSalesTransactions[[#This Row],[Cost]]</f>
        <v>35</v>
      </c>
    </row>
    <row r="46" spans="1:13">
      <c r="A46" t="s">
        <v>97</v>
      </c>
      <c r="B46" s="12">
        <v>46120</v>
      </c>
      <c r="C46" s="12">
        <v>46130</v>
      </c>
      <c r="E46" t="s">
        <v>98</v>
      </c>
      <c r="F46" s="2" t="s">
        <v>18</v>
      </c>
      <c r="I46">
        <v>1</v>
      </c>
      <c r="J46" s="7">
        <v>135</v>
      </c>
      <c r="K46" s="7">
        <f>tblSalesTransactions[[#This Row],[Units]]*tblSalesTransactions[[#This Row],[UnitPrice]]</f>
        <v>135</v>
      </c>
      <c r="L46" s="7">
        <v>71.34</v>
      </c>
      <c r="M46" s="1">
        <f>tblSalesTransactions[[#This Row],[Revenue]]-tblSalesTransactions[[#This Row],[Cost]]</f>
        <v>63.66</v>
      </c>
    </row>
    <row r="47" spans="1:13">
      <c r="A47" t="s">
        <v>99</v>
      </c>
      <c r="B47" s="12">
        <v>46109</v>
      </c>
      <c r="C47" s="12">
        <v>46130</v>
      </c>
      <c r="E47" t="s">
        <v>100</v>
      </c>
      <c r="F47" s="2" t="s">
        <v>18</v>
      </c>
      <c r="I47">
        <v>1</v>
      </c>
      <c r="J47" s="7">
        <v>120</v>
      </c>
      <c r="K47" s="7">
        <f>tblSalesTransactions[[#This Row],[Units]]*tblSalesTransactions[[#This Row],[UnitPrice]]</f>
        <v>120</v>
      </c>
      <c r="L47" s="7">
        <v>65</v>
      </c>
      <c r="M47" s="1">
        <f>tblSalesTransactions[[#This Row],[Revenue]]-tblSalesTransactions[[#This Row],[Cost]]</f>
        <v>55</v>
      </c>
    </row>
    <row r="48" spans="1:13">
      <c r="A48" t="s">
        <v>101</v>
      </c>
      <c r="B48" s="12">
        <v>46128</v>
      </c>
      <c r="C48" s="12"/>
      <c r="E48" t="s">
        <v>102</v>
      </c>
      <c r="F48" s="2"/>
      <c r="I48">
        <v>1</v>
      </c>
      <c r="J48" s="7">
        <v>50</v>
      </c>
      <c r="K48" s="7">
        <f>tblSalesTransactions[[#This Row],[Units]]*tblSalesTransactions[[#This Row],[UnitPrice]]</f>
        <v>50</v>
      </c>
      <c r="L48" s="7">
        <v>45.64</v>
      </c>
      <c r="M48" s="1">
        <f>tblSalesTransactions[[#This Row],[Revenue]]-tblSalesTransactions[[#This Row],[Cost]]</f>
        <v>4.3599999999999994</v>
      </c>
    </row>
    <row r="49" spans="1:13">
      <c r="A49" t="s">
        <v>103</v>
      </c>
      <c r="B49" s="12">
        <v>46130</v>
      </c>
      <c r="C49" s="12"/>
      <c r="E49" t="s">
        <v>104</v>
      </c>
      <c r="F49" s="2" t="s">
        <v>18</v>
      </c>
      <c r="I49">
        <v>1</v>
      </c>
      <c r="J49" s="7">
        <v>80</v>
      </c>
      <c r="K49" s="7">
        <f>tblSalesTransactions[[#This Row],[Units]]*tblSalesTransactions[[#This Row],[UnitPrice]]</f>
        <v>80</v>
      </c>
      <c r="L49" s="7">
        <v>80</v>
      </c>
      <c r="M49" s="1">
        <f>tblSalesTransactions[[#This Row],[Revenue]]-tblSalesTransactions[[#This Row],[Cost]]</f>
        <v>0</v>
      </c>
    </row>
    <row r="50" spans="1:13">
      <c r="A50" t="s">
        <v>105</v>
      </c>
      <c r="B50" s="12">
        <v>46130</v>
      </c>
      <c r="C50" s="12">
        <v>46140</v>
      </c>
      <c r="E50" t="s">
        <v>106</v>
      </c>
      <c r="F50" s="2" t="s">
        <v>41</v>
      </c>
      <c r="I50">
        <v>1</v>
      </c>
      <c r="J50" s="7">
        <v>160</v>
      </c>
      <c r="K50" s="7">
        <f>tblSalesTransactions[[#This Row],[Units]]*tblSalesTransactions[[#This Row],[UnitPrice]]</f>
        <v>160</v>
      </c>
      <c r="L50" s="7">
        <v>75.2</v>
      </c>
      <c r="M50" s="1">
        <f>tblSalesTransactions[[#This Row],[Revenue]]-tblSalesTransactions[[#This Row],[Cost]]</f>
        <v>84.8</v>
      </c>
    </row>
    <row r="51" spans="1:13">
      <c r="A51" t="s">
        <v>107</v>
      </c>
      <c r="B51" s="12">
        <v>46130</v>
      </c>
      <c r="C51" s="12">
        <v>46180</v>
      </c>
      <c r="E51" t="s">
        <v>108</v>
      </c>
      <c r="F51" s="2" t="s">
        <v>18</v>
      </c>
      <c r="I51">
        <v>1</v>
      </c>
      <c r="J51" s="7">
        <v>90</v>
      </c>
      <c r="K51" s="7">
        <f>tblSalesTransactions[[#This Row],[Units]]*tblSalesTransactions[[#This Row],[UnitPrice]]</f>
        <v>90</v>
      </c>
      <c r="L51" s="7">
        <v>71.489999999999995</v>
      </c>
      <c r="M51" s="1">
        <f>tblSalesTransactions[[#This Row],[Revenue]]-tblSalesTransactions[[#This Row],[Cost]]</f>
        <v>18.510000000000005</v>
      </c>
    </row>
    <row r="52" spans="1:13">
      <c r="A52" t="s">
        <v>109</v>
      </c>
      <c r="B52" s="12">
        <v>46130</v>
      </c>
      <c r="C52" s="12"/>
      <c r="E52" t="s">
        <v>55</v>
      </c>
      <c r="F52" s="2" t="s">
        <v>58</v>
      </c>
      <c r="I52">
        <v>1</v>
      </c>
      <c r="J52" s="7">
        <v>120</v>
      </c>
      <c r="K52" s="7">
        <f>tblSalesTransactions[[#This Row],[Units]]*tblSalesTransactions[[#This Row],[UnitPrice]]</f>
        <v>120</v>
      </c>
      <c r="L52" s="7">
        <v>40</v>
      </c>
      <c r="M52" s="1">
        <f>tblSalesTransactions[[#This Row],[Revenue]]-tblSalesTransactions[[#This Row],[Cost]]</f>
        <v>80</v>
      </c>
    </row>
    <row r="53" spans="1:13">
      <c r="A53" t="s">
        <v>110</v>
      </c>
      <c r="B53" s="12">
        <v>46130</v>
      </c>
      <c r="C53" s="12">
        <v>46184</v>
      </c>
      <c r="E53" t="s">
        <v>111</v>
      </c>
      <c r="F53" s="2" t="s">
        <v>15</v>
      </c>
      <c r="I53">
        <v>1</v>
      </c>
      <c r="J53" s="7">
        <v>30</v>
      </c>
      <c r="K53" s="7">
        <f>tblSalesTransactions[[#This Row],[Units]]*tblSalesTransactions[[#This Row],[UnitPrice]]</f>
        <v>30</v>
      </c>
      <c r="L53" s="7">
        <v>40</v>
      </c>
      <c r="M53" s="1">
        <f>tblSalesTransactions[[#This Row],[Revenue]]-tblSalesTransactions[[#This Row],[Cost]]</f>
        <v>-10</v>
      </c>
    </row>
    <row r="54" spans="1:13">
      <c r="A54" t="s">
        <v>112</v>
      </c>
      <c r="B54" s="12">
        <v>46130</v>
      </c>
      <c r="C54" s="12">
        <v>46172</v>
      </c>
      <c r="E54" t="s">
        <v>113</v>
      </c>
      <c r="F54" s="2" t="s">
        <v>18</v>
      </c>
      <c r="I54">
        <v>1</v>
      </c>
      <c r="J54" s="7">
        <v>130</v>
      </c>
      <c r="K54" s="7">
        <f>tblSalesTransactions[[#This Row],[Units]]*tblSalesTransactions[[#This Row],[UnitPrice]]</f>
        <v>130</v>
      </c>
      <c r="L54" s="7">
        <v>71.989999999999995</v>
      </c>
      <c r="M54" s="1">
        <f>tblSalesTransactions[[#This Row],[Revenue]]-tblSalesTransactions[[#This Row],[Cost]]</f>
        <v>58.010000000000005</v>
      </c>
    </row>
    <row r="55" spans="1:13">
      <c r="A55" t="s">
        <v>114</v>
      </c>
      <c r="B55" s="12">
        <v>46130</v>
      </c>
      <c r="C55" s="12">
        <v>46132</v>
      </c>
      <c r="E55" t="s">
        <v>115</v>
      </c>
      <c r="F55" s="2" t="s">
        <v>15</v>
      </c>
      <c r="I55">
        <v>1</v>
      </c>
      <c r="J55" s="7">
        <v>49.33</v>
      </c>
      <c r="K55" s="7">
        <f>tblSalesTransactions[[#This Row],[Units]]*tblSalesTransactions[[#This Row],[UnitPrice]]</f>
        <v>49.33</v>
      </c>
      <c r="L55" s="7">
        <v>20</v>
      </c>
      <c r="M55" s="1">
        <f>tblSalesTransactions[[#This Row],[Revenue]]-tblSalesTransactions[[#This Row],[Cost]]</f>
        <v>29.33</v>
      </c>
    </row>
    <row r="56" spans="1:13">
      <c r="A56" t="s">
        <v>116</v>
      </c>
      <c r="B56" s="12">
        <v>46131</v>
      </c>
      <c r="C56" s="12">
        <v>46181</v>
      </c>
      <c r="E56" t="s">
        <v>117</v>
      </c>
      <c r="F56" s="12" t="s">
        <v>41</v>
      </c>
      <c r="G56" s="12"/>
      <c r="I56">
        <v>1</v>
      </c>
      <c r="J56" s="7">
        <v>60</v>
      </c>
      <c r="K56" s="7">
        <f>tblSalesTransactions[[#This Row],[Units]]*tblSalesTransactions[[#This Row],[UnitPrice]]</f>
        <v>60</v>
      </c>
      <c r="L56" s="7">
        <v>62.19</v>
      </c>
      <c r="M56" s="1">
        <f>tblSalesTransactions[[#This Row],[Revenue]]-tblSalesTransactions[[#This Row],[Cost]]</f>
        <v>-2.1899999999999977</v>
      </c>
    </row>
    <row r="57" spans="1:13">
      <c r="A57" t="s">
        <v>118</v>
      </c>
      <c r="B57" s="12">
        <v>46129</v>
      </c>
      <c r="C57" s="12"/>
      <c r="E57" t="s">
        <v>119</v>
      </c>
      <c r="F57" s="2" t="s">
        <v>15</v>
      </c>
      <c r="I57">
        <v>1</v>
      </c>
      <c r="J57" s="7">
        <v>30</v>
      </c>
      <c r="K57" s="7">
        <f>tblSalesTransactions[[#This Row],[Units]]*tblSalesTransactions[[#This Row],[UnitPrice]]</f>
        <v>30</v>
      </c>
      <c r="L57" s="7">
        <v>52.21</v>
      </c>
      <c r="M57" s="1">
        <f>tblSalesTransactions[[#This Row],[Revenue]]-tblSalesTransactions[[#This Row],[Cost]]</f>
        <v>-22.21</v>
      </c>
    </row>
    <row r="58" spans="1:13">
      <c r="A58" t="s">
        <v>120</v>
      </c>
      <c r="B58" s="12">
        <v>46124</v>
      </c>
      <c r="C58" s="12"/>
      <c r="E58" t="s">
        <v>121</v>
      </c>
      <c r="F58" s="2" t="s">
        <v>122</v>
      </c>
      <c r="I58">
        <v>1</v>
      </c>
      <c r="J58" s="7"/>
      <c r="K58" s="7">
        <f>tblSalesTransactions[[#This Row],[Units]]*tblSalesTransactions[[#This Row],[UnitPrice]]</f>
        <v>0</v>
      </c>
      <c r="L58" s="7">
        <v>204.5</v>
      </c>
      <c r="M58" s="1">
        <f>tblSalesTransactions[[#This Row],[Revenue]]-tblSalesTransactions[[#This Row],[Cost]]</f>
        <v>-204.5</v>
      </c>
    </row>
    <row r="59" spans="1:13">
      <c r="A59" t="s">
        <v>123</v>
      </c>
      <c r="B59" s="12">
        <v>46130</v>
      </c>
      <c r="C59" s="12"/>
      <c r="E59" t="s">
        <v>124</v>
      </c>
      <c r="F59" s="2" t="s">
        <v>18</v>
      </c>
      <c r="I59">
        <v>1</v>
      </c>
      <c r="J59" s="7">
        <v>30</v>
      </c>
      <c r="K59" s="7">
        <f>tblSalesTransactions[[#This Row],[Units]]*tblSalesTransactions[[#This Row],[UnitPrice]]</f>
        <v>30</v>
      </c>
      <c r="L59" s="7">
        <v>20</v>
      </c>
      <c r="M59" s="1">
        <f>tblSalesTransactions[[#This Row],[Revenue]]-tblSalesTransactions[[#This Row],[Cost]]</f>
        <v>10</v>
      </c>
    </row>
    <row r="60" spans="1:13">
      <c r="A60" t="s">
        <v>125</v>
      </c>
      <c r="B60" s="12">
        <v>46132</v>
      </c>
      <c r="C60" s="12">
        <v>46157</v>
      </c>
      <c r="E60" t="s">
        <v>126</v>
      </c>
      <c r="F60" s="2" t="s">
        <v>15</v>
      </c>
      <c r="I60">
        <v>1</v>
      </c>
      <c r="J60" s="7">
        <v>119.52</v>
      </c>
      <c r="K60" s="7">
        <f>tblSalesTransactions[[#This Row],[Units]]*tblSalesTransactions[[#This Row],[UnitPrice]]</f>
        <v>119.52</v>
      </c>
      <c r="L60" s="7">
        <v>25.74</v>
      </c>
      <c r="M60" s="1">
        <f>tblSalesTransactions[[#This Row],[Revenue]]-tblSalesTransactions[[#This Row],[Cost]]</f>
        <v>93.78</v>
      </c>
    </row>
    <row r="61" spans="1:13">
      <c r="A61" t="s">
        <v>127</v>
      </c>
      <c r="B61" s="12">
        <v>46134</v>
      </c>
      <c r="C61" s="12">
        <v>46158</v>
      </c>
      <c r="E61" t="s">
        <v>128</v>
      </c>
      <c r="F61" s="2" t="s">
        <v>18</v>
      </c>
      <c r="I61">
        <v>1</v>
      </c>
      <c r="J61" s="7">
        <v>40</v>
      </c>
      <c r="K61" s="7">
        <f>tblSalesTransactions[[#This Row],[Units]]*tblSalesTransactions[[#This Row],[UnitPrice]]</f>
        <v>40</v>
      </c>
      <c r="L61" s="7">
        <v>38.549999999999997</v>
      </c>
      <c r="M61" s="1">
        <f>tblSalesTransactions[[#This Row],[Revenue]]-tblSalesTransactions[[#This Row],[Cost]]</f>
        <v>1.4500000000000028</v>
      </c>
    </row>
    <row r="62" spans="1:13">
      <c r="A62" t="s">
        <v>129</v>
      </c>
      <c r="B62" s="12">
        <v>46134</v>
      </c>
      <c r="C62" s="12">
        <v>46144</v>
      </c>
      <c r="E62" t="s">
        <v>130</v>
      </c>
      <c r="F62" s="2" t="s">
        <v>18</v>
      </c>
      <c r="I62">
        <v>1</v>
      </c>
      <c r="J62" s="7">
        <v>120</v>
      </c>
      <c r="K62" s="7">
        <f>tblSalesTransactions[[#This Row],[Units]]*tblSalesTransactions[[#This Row],[UnitPrice]]</f>
        <v>120</v>
      </c>
      <c r="L62" s="7">
        <v>84.31</v>
      </c>
      <c r="M62" s="1">
        <f>tblSalesTransactions[[#This Row],[Revenue]]-tblSalesTransactions[[#This Row],[Cost]]</f>
        <v>35.69</v>
      </c>
    </row>
    <row r="63" spans="1:13">
      <c r="A63" t="s">
        <v>131</v>
      </c>
      <c r="B63" s="12">
        <v>46135</v>
      </c>
      <c r="C63" s="12">
        <v>46184</v>
      </c>
      <c r="E63" t="s">
        <v>132</v>
      </c>
      <c r="F63" s="2" t="s">
        <v>15</v>
      </c>
      <c r="I63">
        <v>1</v>
      </c>
      <c r="J63" s="7">
        <v>125</v>
      </c>
      <c r="K63" s="7">
        <f>tblSalesTransactions[[#This Row],[Units]]*tblSalesTransactions[[#This Row],[UnitPrice]]</f>
        <v>125</v>
      </c>
      <c r="L63" s="7">
        <v>90.23</v>
      </c>
      <c r="M63" s="1">
        <f>tblSalesTransactions[[#This Row],[Revenue]]-tblSalesTransactions[[#This Row],[Cost]]</f>
        <v>34.769999999999996</v>
      </c>
    </row>
    <row r="64" spans="1:13">
      <c r="A64" t="s">
        <v>133</v>
      </c>
      <c r="B64" s="12">
        <v>46135</v>
      </c>
      <c r="C64" s="12">
        <v>46158</v>
      </c>
      <c r="E64" t="s">
        <v>128</v>
      </c>
      <c r="F64" s="2" t="s">
        <v>18</v>
      </c>
      <c r="I64">
        <v>1</v>
      </c>
      <c r="J64" s="7">
        <v>45</v>
      </c>
      <c r="K64" s="7">
        <f>tblSalesTransactions[[#This Row],[Units]]*tblSalesTransactions[[#This Row],[UnitPrice]]</f>
        <v>45</v>
      </c>
      <c r="L64" s="7">
        <v>38.5</v>
      </c>
      <c r="M64" s="1">
        <f>tblSalesTransactions[[#This Row],[Revenue]]-tblSalesTransactions[[#This Row],[Cost]]</f>
        <v>6.5</v>
      </c>
    </row>
    <row r="65" spans="1:13">
      <c r="A65" t="s">
        <v>134</v>
      </c>
      <c r="B65" s="12">
        <v>46135</v>
      </c>
      <c r="C65" s="12">
        <v>46158</v>
      </c>
      <c r="E65" t="s">
        <v>128</v>
      </c>
      <c r="F65" s="2" t="s">
        <v>18</v>
      </c>
      <c r="I65">
        <v>1</v>
      </c>
      <c r="J65" s="7">
        <v>45</v>
      </c>
      <c r="K65" s="7">
        <f>tblSalesTransactions[[#This Row],[Units]]*tblSalesTransactions[[#This Row],[UnitPrice]]</f>
        <v>45</v>
      </c>
      <c r="L65" s="7">
        <v>38.5</v>
      </c>
      <c r="M65" s="1">
        <f>tblSalesTransactions[[#This Row],[Revenue]]-tblSalesTransactions[[#This Row],[Cost]]</f>
        <v>6.5</v>
      </c>
    </row>
    <row r="66" spans="1:13">
      <c r="A66" t="s">
        <v>135</v>
      </c>
      <c r="B66" s="12">
        <v>46138</v>
      </c>
      <c r="C66" s="12">
        <v>46158</v>
      </c>
      <c r="E66" t="s">
        <v>128</v>
      </c>
      <c r="F66" s="2" t="s">
        <v>18</v>
      </c>
      <c r="I66">
        <v>1</v>
      </c>
      <c r="J66" s="7">
        <v>40</v>
      </c>
      <c r="K66" s="7">
        <f>tblSalesTransactions[[#This Row],[Units]]*tblSalesTransactions[[#This Row],[UnitPrice]]</f>
        <v>40</v>
      </c>
      <c r="L66" s="7">
        <v>37.1</v>
      </c>
      <c r="M66" s="1">
        <f>tblSalesTransactions[[#This Row],[Revenue]]-tblSalesTransactions[[#This Row],[Cost]]</f>
        <v>2.8999999999999986</v>
      </c>
    </row>
    <row r="67" spans="1:13">
      <c r="A67" t="s">
        <v>136</v>
      </c>
      <c r="B67" s="12">
        <v>46140</v>
      </c>
      <c r="C67" s="12"/>
      <c r="E67" t="s">
        <v>137</v>
      </c>
      <c r="F67" s="2" t="s">
        <v>18</v>
      </c>
      <c r="I67">
        <v>1</v>
      </c>
      <c r="J67" s="7">
        <v>100</v>
      </c>
      <c r="K67" s="7">
        <f>tblSalesTransactions[[#This Row],[Units]]*tblSalesTransactions[[#This Row],[UnitPrice]]</f>
        <v>100</v>
      </c>
      <c r="L67" s="7">
        <v>64.19</v>
      </c>
      <c r="M67" s="1">
        <f>tblSalesTransactions[[#This Row],[Revenue]]-tblSalesTransactions[[#This Row],[Cost]]</f>
        <v>35.81</v>
      </c>
    </row>
    <row r="68" spans="1:13">
      <c r="A68" t="s">
        <v>138</v>
      </c>
      <c r="B68" s="12">
        <v>46140</v>
      </c>
      <c r="C68" s="12"/>
      <c r="E68" t="s">
        <v>139</v>
      </c>
      <c r="F68" s="2"/>
      <c r="I68">
        <v>1</v>
      </c>
      <c r="J68" s="7">
        <v>12.5</v>
      </c>
      <c r="K68" s="7">
        <f>tblSalesTransactions[[#This Row],[Units]]*tblSalesTransactions[[#This Row],[UnitPrice]]</f>
        <v>12.5</v>
      </c>
      <c r="L68" s="20">
        <f>((458.81/2)+3.3+15)/6</f>
        <v>41.284166666666671</v>
      </c>
      <c r="M68" s="1">
        <f>tblSalesTransactions[[#This Row],[Revenue]]-tblSalesTransactions[[#This Row],[Cost]]</f>
        <v>-28.784166666666671</v>
      </c>
    </row>
    <row r="69" spans="1:13">
      <c r="A69" t="s">
        <v>140</v>
      </c>
      <c r="B69" s="12">
        <v>46140</v>
      </c>
      <c r="C69" s="12">
        <v>46181</v>
      </c>
      <c r="E69" t="s">
        <v>141</v>
      </c>
      <c r="F69" s="2" t="s">
        <v>58</v>
      </c>
      <c r="I69">
        <v>1</v>
      </c>
      <c r="J69" s="7">
        <v>85</v>
      </c>
      <c r="K69" s="7">
        <f>tblSalesTransactions[[#This Row],[Units]]*tblSalesTransactions[[#This Row],[UnitPrice]]</f>
        <v>85</v>
      </c>
      <c r="L69" s="20">
        <f t="shared" ref="L69:L73" si="1">((458.81/2)+3.3+15)/6</f>
        <v>41.284166666666671</v>
      </c>
      <c r="M69" s="1">
        <f>tblSalesTransactions[[#This Row],[Revenue]]-tblSalesTransactions[[#This Row],[Cost]]</f>
        <v>43.715833333333329</v>
      </c>
    </row>
    <row r="70" spans="1:13">
      <c r="A70" t="s">
        <v>142</v>
      </c>
      <c r="B70" s="12">
        <v>46140</v>
      </c>
      <c r="C70" s="12"/>
      <c r="E70" t="s">
        <v>143</v>
      </c>
      <c r="F70" s="2"/>
      <c r="I70">
        <v>1</v>
      </c>
      <c r="J70" s="7"/>
      <c r="K70" s="7">
        <f>tblSalesTransactions[[#This Row],[Units]]*tblSalesTransactions[[#This Row],[UnitPrice]]</f>
        <v>0</v>
      </c>
      <c r="L70" s="20">
        <f t="shared" si="1"/>
        <v>41.284166666666671</v>
      </c>
      <c r="M70" s="1">
        <f>tblSalesTransactions[[#This Row],[Revenue]]-tblSalesTransactions[[#This Row],[Cost]]</f>
        <v>-41.284166666666671</v>
      </c>
    </row>
    <row r="71" spans="1:13">
      <c r="A71" t="s">
        <v>144</v>
      </c>
      <c r="B71" s="12">
        <v>46140</v>
      </c>
      <c r="C71" s="12"/>
      <c r="E71" t="s">
        <v>145</v>
      </c>
      <c r="F71" s="2" t="s">
        <v>58</v>
      </c>
      <c r="I71">
        <v>1</v>
      </c>
      <c r="J71" s="7">
        <v>80</v>
      </c>
      <c r="K71" s="7">
        <f>tblSalesTransactions[[#This Row],[Units]]*tblSalesTransactions[[#This Row],[UnitPrice]]</f>
        <v>80</v>
      </c>
      <c r="L71" s="20">
        <f t="shared" si="1"/>
        <v>41.284166666666671</v>
      </c>
      <c r="M71" s="1">
        <f>tblSalesTransactions[[#This Row],[Revenue]]-tblSalesTransactions[[#This Row],[Cost]]</f>
        <v>38.715833333333329</v>
      </c>
    </row>
    <row r="72" spans="1:13">
      <c r="A72" t="s">
        <v>146</v>
      </c>
      <c r="B72" s="12">
        <v>46140</v>
      </c>
      <c r="C72" s="12">
        <v>46143</v>
      </c>
      <c r="E72" t="s">
        <v>62</v>
      </c>
      <c r="F72" s="2" t="s">
        <v>58</v>
      </c>
      <c r="I72">
        <v>1</v>
      </c>
      <c r="J72" s="7">
        <v>50</v>
      </c>
      <c r="K72" s="7">
        <f>tblSalesTransactions[[#This Row],[Units]]*tblSalesTransactions[[#This Row],[UnitPrice]]</f>
        <v>50</v>
      </c>
      <c r="L72" s="20">
        <f t="shared" si="1"/>
        <v>41.284166666666671</v>
      </c>
      <c r="M72" s="1">
        <f>tblSalesTransactions[[#This Row],[Revenue]]-tblSalesTransactions[[#This Row],[Cost]]</f>
        <v>8.7158333333333289</v>
      </c>
    </row>
    <row r="73" spans="1:13">
      <c r="A73" t="s">
        <v>147</v>
      </c>
      <c r="B73" s="12">
        <v>46140</v>
      </c>
      <c r="C73" s="12">
        <v>46161</v>
      </c>
      <c r="E73" t="s">
        <v>148</v>
      </c>
      <c r="F73" s="2" t="s">
        <v>58</v>
      </c>
      <c r="I73">
        <v>1</v>
      </c>
      <c r="J73" s="7">
        <v>40</v>
      </c>
      <c r="K73" s="7">
        <f>tblSalesTransactions[[#This Row],[Units]]*tblSalesTransactions[[#This Row],[UnitPrice]]</f>
        <v>40</v>
      </c>
      <c r="L73" s="20">
        <f t="shared" si="1"/>
        <v>41.284166666666671</v>
      </c>
      <c r="M73" s="1">
        <f>tblSalesTransactions[[#This Row],[Revenue]]-tblSalesTransactions[[#This Row],[Cost]]</f>
        <v>-1.2841666666666711</v>
      </c>
    </row>
    <row r="74" spans="1:13">
      <c r="A74" t="s">
        <v>149</v>
      </c>
      <c r="B74" s="12">
        <v>46144</v>
      </c>
      <c r="C74" s="12">
        <v>46155</v>
      </c>
      <c r="E74" t="s">
        <v>150</v>
      </c>
      <c r="F74" s="2" t="s">
        <v>15</v>
      </c>
      <c r="I74">
        <v>1</v>
      </c>
      <c r="J74" s="7">
        <v>138.75</v>
      </c>
      <c r="K74" s="7">
        <f>tblSalesTransactions[[#This Row],[Units]]*tblSalesTransactions[[#This Row],[UnitPrice]]</f>
        <v>138.75</v>
      </c>
      <c r="L74" s="7">
        <v>67</v>
      </c>
      <c r="M74" s="1">
        <f>tblSalesTransactions[[#This Row],[Revenue]]-tblSalesTransactions[[#This Row],[Cost]]</f>
        <v>71.75</v>
      </c>
    </row>
    <row r="75" spans="1:13">
      <c r="A75" t="s">
        <v>151</v>
      </c>
      <c r="B75" s="12">
        <v>46144</v>
      </c>
      <c r="C75" s="12"/>
      <c r="E75" t="s">
        <v>152</v>
      </c>
      <c r="F75" s="2"/>
      <c r="I75">
        <v>1</v>
      </c>
      <c r="J75" s="7"/>
      <c r="K75" s="7">
        <f>tblSalesTransactions[[#This Row],[Units]]*tblSalesTransactions[[#This Row],[UnitPrice]]</f>
        <v>0</v>
      </c>
      <c r="L75" s="7">
        <v>30</v>
      </c>
      <c r="M75" s="1">
        <f>tblSalesTransactions[[#This Row],[Revenue]]-tblSalesTransactions[[#This Row],[Cost]]</f>
        <v>-30</v>
      </c>
    </row>
    <row r="76" spans="1:13">
      <c r="A76" t="s">
        <v>153</v>
      </c>
      <c r="B76" s="12">
        <v>46144</v>
      </c>
      <c r="C76" s="12">
        <v>46150</v>
      </c>
      <c r="E76" t="s">
        <v>154</v>
      </c>
      <c r="F76" s="2" t="s">
        <v>15</v>
      </c>
      <c r="I76">
        <v>1</v>
      </c>
      <c r="J76" s="7">
        <v>37.79</v>
      </c>
      <c r="K76" s="7">
        <f>tblSalesTransactions[[#This Row],[Units]]*tblSalesTransactions[[#This Row],[UnitPrice]]</f>
        <v>37.79</v>
      </c>
      <c r="L76" s="7">
        <v>10</v>
      </c>
      <c r="M76" s="1">
        <f>tblSalesTransactions[[#This Row],[Revenue]]-tblSalesTransactions[[#This Row],[Cost]]</f>
        <v>27.79</v>
      </c>
    </row>
    <row r="77" spans="1:13">
      <c r="A77" t="s">
        <v>155</v>
      </c>
      <c r="B77" s="12">
        <v>46146</v>
      </c>
      <c r="C77" s="12"/>
      <c r="E77" t="s">
        <v>156</v>
      </c>
      <c r="F77" s="2"/>
      <c r="I77">
        <v>1</v>
      </c>
      <c r="J77" s="7"/>
      <c r="K77" s="7">
        <f>tblSalesTransactions[[#This Row],[Units]]*tblSalesTransactions[[#This Row],[UnitPrice]]</f>
        <v>0</v>
      </c>
      <c r="L77" s="16">
        <f>42+37.5</f>
        <v>79.5</v>
      </c>
      <c r="M77" s="1">
        <f>tblSalesTransactions[[#This Row],[Revenue]]-tblSalesTransactions[[#This Row],[Cost]]</f>
        <v>-79.5</v>
      </c>
    </row>
    <row r="78" spans="1:13">
      <c r="A78" t="s">
        <v>157</v>
      </c>
      <c r="B78" s="12">
        <v>46146</v>
      </c>
      <c r="C78" s="12"/>
      <c r="E78" t="s">
        <v>158</v>
      </c>
      <c r="F78" s="2" t="s">
        <v>58</v>
      </c>
      <c r="I78">
        <v>1</v>
      </c>
      <c r="J78" s="7">
        <v>50</v>
      </c>
      <c r="K78" s="7">
        <f>tblSalesTransactions[[#This Row],[Units]]*tblSalesTransactions[[#This Row],[UnitPrice]]</f>
        <v>50</v>
      </c>
      <c r="L78" s="16">
        <f>37.5+10.97</f>
        <v>48.47</v>
      </c>
      <c r="M78" s="1">
        <f>tblSalesTransactions[[#This Row],[Revenue]]-tblSalesTransactions[[#This Row],[Cost]]</f>
        <v>1.5300000000000011</v>
      </c>
    </row>
    <row r="79" spans="1:13">
      <c r="A79" t="s">
        <v>159</v>
      </c>
      <c r="B79" s="12">
        <v>46152</v>
      </c>
      <c r="C79" s="12">
        <v>46158</v>
      </c>
      <c r="E79" t="s">
        <v>160</v>
      </c>
      <c r="F79" s="2" t="s">
        <v>18</v>
      </c>
      <c r="I79">
        <v>1</v>
      </c>
      <c r="J79" s="7">
        <v>110</v>
      </c>
      <c r="K79" s="7">
        <f>tblSalesTransactions[[#This Row],[Units]]*tblSalesTransactions[[#This Row],[UnitPrice]]</f>
        <v>110</v>
      </c>
      <c r="L79" s="7">
        <v>76.59</v>
      </c>
      <c r="M79" s="1">
        <f>tblSalesTransactions[[#This Row],[Revenue]]-tblSalesTransactions[[#This Row],[Cost]]</f>
        <v>33.409999999999997</v>
      </c>
    </row>
    <row r="80" spans="1:13">
      <c r="A80" t="s">
        <v>161</v>
      </c>
      <c r="B80" s="12">
        <v>46152</v>
      </c>
      <c r="C80" s="12"/>
      <c r="E80" t="s">
        <v>162</v>
      </c>
      <c r="F80" s="2" t="s">
        <v>58</v>
      </c>
      <c r="I80">
        <v>1</v>
      </c>
      <c r="J80" s="7">
        <v>0</v>
      </c>
      <c r="K80" s="7">
        <f>tblSalesTransactions[[#This Row],[Units]]*tblSalesTransactions[[#This Row],[UnitPrice]]</f>
        <v>0</v>
      </c>
      <c r="L80" s="7">
        <v>34.85</v>
      </c>
      <c r="M80" s="1">
        <f>tblSalesTransactions[[#This Row],[Revenue]]-tblSalesTransactions[[#This Row],[Cost]]</f>
        <v>-34.85</v>
      </c>
    </row>
    <row r="81" spans="1:13">
      <c r="A81" t="s">
        <v>163</v>
      </c>
      <c r="B81" s="12">
        <v>46152</v>
      </c>
      <c r="C81" s="12">
        <v>46169</v>
      </c>
      <c r="E81" t="s">
        <v>164</v>
      </c>
      <c r="F81" s="2" t="s">
        <v>58</v>
      </c>
      <c r="I81">
        <v>1</v>
      </c>
      <c r="J81" s="7">
        <v>60</v>
      </c>
      <c r="K81" s="7">
        <f>tblSalesTransactions[[#This Row],[Units]]*tblSalesTransactions[[#This Row],[UnitPrice]]</f>
        <v>60</v>
      </c>
      <c r="L81" s="7">
        <v>68.989999999999995</v>
      </c>
      <c r="M81" s="1">
        <f>tblSalesTransactions[[#This Row],[Revenue]]-tblSalesTransactions[[#This Row],[Cost]]</f>
        <v>-8.9899999999999949</v>
      </c>
    </row>
    <row r="82" spans="1:13">
      <c r="A82" t="s">
        <v>165</v>
      </c>
      <c r="B82" s="12">
        <v>46153</v>
      </c>
      <c r="C82" s="12"/>
      <c r="E82" t="s">
        <v>166</v>
      </c>
      <c r="F82" s="2" t="s">
        <v>15</v>
      </c>
      <c r="I82">
        <v>1</v>
      </c>
      <c r="J82" s="7">
        <v>47.82</v>
      </c>
      <c r="K82" s="7">
        <f>tblSalesTransactions[[#This Row],[Units]]*tblSalesTransactions[[#This Row],[UnitPrice]]</f>
        <v>47.82</v>
      </c>
      <c r="L82" s="7">
        <v>47.12</v>
      </c>
      <c r="M82" s="1">
        <f>tblSalesTransactions[[#This Row],[Revenue]]-tblSalesTransactions[[#This Row],[Cost]]</f>
        <v>0.70000000000000284</v>
      </c>
    </row>
    <row r="83" spans="1:13">
      <c r="A83" t="s">
        <v>167</v>
      </c>
      <c r="B83" s="12">
        <v>46153</v>
      </c>
      <c r="C83" s="12">
        <v>46169</v>
      </c>
      <c r="E83" t="s">
        <v>168</v>
      </c>
      <c r="F83" s="2" t="s">
        <v>58</v>
      </c>
      <c r="I83">
        <v>1</v>
      </c>
      <c r="J83" s="7">
        <v>50</v>
      </c>
      <c r="K83" s="7">
        <f>tblSalesTransactions[[#This Row],[Units]]*tblSalesTransactions[[#This Row],[UnitPrice]]</f>
        <v>50</v>
      </c>
      <c r="L83" s="7">
        <v>50</v>
      </c>
      <c r="M83" s="1">
        <f>tblSalesTransactions[[#This Row],[Revenue]]-tblSalesTransactions[[#This Row],[Cost]]</f>
        <v>0</v>
      </c>
    </row>
    <row r="84" spans="1:13">
      <c r="A84" t="s">
        <v>169</v>
      </c>
      <c r="B84" s="12">
        <v>46154</v>
      </c>
      <c r="C84" s="12">
        <v>46156</v>
      </c>
      <c r="E84" t="s">
        <v>170</v>
      </c>
      <c r="F84" s="2" t="s">
        <v>15</v>
      </c>
      <c r="I84">
        <v>1</v>
      </c>
      <c r="J84" s="7">
        <f>89+265</f>
        <v>354</v>
      </c>
      <c r="K84" s="7">
        <f>tblSalesTransactions[[#This Row],[Units]]*tblSalesTransactions[[#This Row],[UnitPrice]]</f>
        <v>354</v>
      </c>
      <c r="L84" s="7">
        <v>118.4</v>
      </c>
      <c r="M84" s="1">
        <f>tblSalesTransactions[[#This Row],[Revenue]]-tblSalesTransactions[[#This Row],[Cost]]</f>
        <v>235.6</v>
      </c>
    </row>
    <row r="85" spans="1:13">
      <c r="A85" t="s">
        <v>171</v>
      </c>
      <c r="B85" s="12">
        <v>46154</v>
      </c>
      <c r="C85" s="12">
        <v>46159</v>
      </c>
      <c r="E85" t="s">
        <v>172</v>
      </c>
      <c r="F85" s="2" t="s">
        <v>58</v>
      </c>
      <c r="I85">
        <v>1</v>
      </c>
      <c r="J85" s="7">
        <v>130</v>
      </c>
      <c r="K85" s="7">
        <f>tblSalesTransactions[[#This Row],[Units]]*tblSalesTransactions[[#This Row],[UnitPrice]]</f>
        <v>130</v>
      </c>
      <c r="L85" s="7">
        <v>75.23</v>
      </c>
      <c r="M85" s="1">
        <f>tblSalesTransactions[[#This Row],[Revenue]]-tblSalesTransactions[[#This Row],[Cost]]</f>
        <v>54.769999999999996</v>
      </c>
    </row>
    <row r="86" spans="1:13">
      <c r="A86" t="s">
        <v>173</v>
      </c>
      <c r="B86" s="12">
        <v>46158</v>
      </c>
      <c r="C86" s="12">
        <v>46166</v>
      </c>
      <c r="E86" t="s">
        <v>174</v>
      </c>
      <c r="F86" s="2" t="s">
        <v>15</v>
      </c>
      <c r="I86">
        <v>1</v>
      </c>
      <c r="J86" s="7">
        <v>107.5</v>
      </c>
      <c r="K86" s="7">
        <f>tblSalesTransactions[[#This Row],[Units]]*tblSalesTransactions[[#This Row],[UnitPrice]]</f>
        <v>107.5</v>
      </c>
      <c r="L86" s="7">
        <v>70</v>
      </c>
      <c r="M86" s="1">
        <f>tblSalesTransactions[[#This Row],[Revenue]]-tblSalesTransactions[[#This Row],[Cost]]</f>
        <v>37.5</v>
      </c>
    </row>
    <row r="87" spans="1:13">
      <c r="A87" t="s">
        <v>175</v>
      </c>
      <c r="B87" s="12">
        <v>46158</v>
      </c>
      <c r="C87" s="12"/>
      <c r="E87" t="s">
        <v>176</v>
      </c>
      <c r="F87" s="2" t="s">
        <v>15</v>
      </c>
      <c r="I87">
        <v>1</v>
      </c>
      <c r="J87" s="7">
        <v>115</v>
      </c>
      <c r="K87" s="7">
        <f>tblSalesTransactions[[#This Row],[Units]]*tblSalesTransactions[[#This Row],[UnitPrice]]</f>
        <v>115</v>
      </c>
      <c r="L87" s="7">
        <f>30+6.51+15.38</f>
        <v>51.89</v>
      </c>
      <c r="M87" s="1">
        <f>tblSalesTransactions[[#This Row],[Revenue]]-tblSalesTransactions[[#This Row],[Cost]]</f>
        <v>63.11</v>
      </c>
    </row>
    <row r="88" spans="1:13">
      <c r="A88" t="s">
        <v>177</v>
      </c>
      <c r="B88" s="12">
        <v>46158</v>
      </c>
      <c r="C88" s="12">
        <v>46181</v>
      </c>
      <c r="E88" t="s">
        <v>178</v>
      </c>
      <c r="F88" s="12" t="s">
        <v>58</v>
      </c>
      <c r="I88">
        <v>1</v>
      </c>
      <c r="J88" s="7">
        <v>125</v>
      </c>
      <c r="K88" s="7">
        <f>tblSalesTransactions[[#This Row],[Units]]*tblSalesTransactions[[#This Row],[UnitPrice]]</f>
        <v>125</v>
      </c>
      <c r="L88" s="7">
        <f>8+56.64</f>
        <v>64.64</v>
      </c>
      <c r="M88" s="1">
        <f>tblSalesTransactions[[#This Row],[Revenue]]-tblSalesTransactions[[#This Row],[Cost]]</f>
        <v>60.36</v>
      </c>
    </row>
    <row r="89" spans="1:13">
      <c r="A89" t="s">
        <v>179</v>
      </c>
      <c r="B89" s="12">
        <v>46159</v>
      </c>
      <c r="C89" s="12"/>
      <c r="E89" t="s">
        <v>180</v>
      </c>
      <c r="F89" s="2" t="s">
        <v>58</v>
      </c>
      <c r="I89">
        <v>1</v>
      </c>
      <c r="J89" s="7">
        <v>56</v>
      </c>
      <c r="K89" s="7">
        <f>tblSalesTransactions[[#This Row],[Units]]*tblSalesTransactions[[#This Row],[UnitPrice]]</f>
        <v>56</v>
      </c>
      <c r="L89" s="7">
        <v>79.98</v>
      </c>
      <c r="M89" s="1">
        <f>tblSalesTransactions[[#This Row],[Revenue]]-tblSalesTransactions[[#This Row],[Cost]]</f>
        <v>-23.980000000000004</v>
      </c>
    </row>
    <row r="90" spans="1:13">
      <c r="A90" t="s">
        <v>181</v>
      </c>
      <c r="B90" s="12">
        <v>46159</v>
      </c>
      <c r="C90" s="12">
        <v>46156</v>
      </c>
      <c r="E90" t="s">
        <v>182</v>
      </c>
      <c r="F90" s="2" t="s">
        <v>183</v>
      </c>
      <c r="I90">
        <v>1</v>
      </c>
      <c r="J90" s="7">
        <v>80</v>
      </c>
      <c r="K90" s="7">
        <f>tblSalesTransactions[[#This Row],[Units]]*tblSalesTransactions[[#This Row],[UnitPrice]]</f>
        <v>80</v>
      </c>
      <c r="L90" s="7">
        <v>30</v>
      </c>
      <c r="M90" s="1">
        <f>tblSalesTransactions[[#This Row],[Revenue]]-tblSalesTransactions[[#This Row],[Cost]]</f>
        <v>50</v>
      </c>
    </row>
    <row r="91" spans="1:13">
      <c r="A91" t="s">
        <v>184</v>
      </c>
      <c r="B91" s="12">
        <v>46137</v>
      </c>
      <c r="C91" s="12">
        <v>46160</v>
      </c>
      <c r="E91" t="s">
        <v>185</v>
      </c>
      <c r="F91" s="2" t="s">
        <v>58</v>
      </c>
      <c r="I91">
        <v>1</v>
      </c>
      <c r="J91" s="7">
        <v>150</v>
      </c>
      <c r="K91" s="7">
        <f>tblSalesTransactions[[#This Row],[Units]]*tblSalesTransactions[[#This Row],[UnitPrice]]</f>
        <v>150</v>
      </c>
      <c r="L91" s="7">
        <v>100</v>
      </c>
      <c r="M91" s="1">
        <f>tblSalesTransactions[[#This Row],[Revenue]]-tblSalesTransactions[[#This Row],[Cost]]</f>
        <v>50</v>
      </c>
    </row>
    <row r="92" spans="1:13">
      <c r="A92" t="s">
        <v>186</v>
      </c>
      <c r="B92" s="12">
        <v>46160</v>
      </c>
      <c r="C92" s="12">
        <v>46166</v>
      </c>
      <c r="E92" t="s">
        <v>187</v>
      </c>
      <c r="F92" s="2" t="s">
        <v>58</v>
      </c>
      <c r="I92">
        <v>1</v>
      </c>
      <c r="J92" s="7">
        <v>80.150000000000006</v>
      </c>
      <c r="K92" s="7">
        <f>tblSalesTransactions[[#This Row],[Units]]*tblSalesTransactions[[#This Row],[UnitPrice]]</f>
        <v>80.150000000000006</v>
      </c>
      <c r="L92" s="7">
        <v>80.150000000000006</v>
      </c>
      <c r="M92" s="1">
        <f>tblSalesTransactions[[#This Row],[Revenue]]-tblSalesTransactions[[#This Row],[Cost]]</f>
        <v>0</v>
      </c>
    </row>
    <row r="93" spans="1:13">
      <c r="A93" t="s">
        <v>188</v>
      </c>
      <c r="B93" s="12">
        <v>46160</v>
      </c>
      <c r="C93" s="12">
        <v>46176</v>
      </c>
      <c r="E93" t="s">
        <v>189</v>
      </c>
      <c r="F93" s="2" t="s">
        <v>15</v>
      </c>
      <c r="I93">
        <v>1</v>
      </c>
      <c r="J93" s="7">
        <v>169</v>
      </c>
      <c r="K93" s="7">
        <f>tblSalesTransactions[[#This Row],[Units]]*tblSalesTransactions[[#This Row],[UnitPrice]]</f>
        <v>169</v>
      </c>
      <c r="L93" s="7">
        <f>8+84.3</f>
        <v>92.3</v>
      </c>
      <c r="M93" s="1">
        <f>tblSalesTransactions[[#This Row],[Revenue]]-tblSalesTransactions[[#This Row],[Cost]]</f>
        <v>76.7</v>
      </c>
    </row>
    <row r="94" spans="1:13">
      <c r="A94" t="s">
        <v>190</v>
      </c>
      <c r="B94" s="12">
        <v>46161</v>
      </c>
      <c r="C94" s="12">
        <v>46181</v>
      </c>
      <c r="E94" t="s">
        <v>191</v>
      </c>
      <c r="F94" s="12" t="s">
        <v>58</v>
      </c>
      <c r="I94">
        <v>1</v>
      </c>
      <c r="J94" s="7">
        <v>150</v>
      </c>
      <c r="K94" s="7">
        <f>tblSalesTransactions[[#This Row],[Units]]*tblSalesTransactions[[#This Row],[UnitPrice]]</f>
        <v>150</v>
      </c>
      <c r="L94" s="7">
        <v>94.99</v>
      </c>
      <c r="M94" s="1">
        <f>tblSalesTransactions[[#This Row],[Revenue]]-tblSalesTransactions[[#This Row],[Cost]]</f>
        <v>55.010000000000005</v>
      </c>
    </row>
    <row r="95" spans="1:13">
      <c r="A95" t="s">
        <v>192</v>
      </c>
      <c r="B95" s="12">
        <v>46161</v>
      </c>
      <c r="C95" s="12"/>
      <c r="E95" t="s">
        <v>193</v>
      </c>
      <c r="F95" s="2"/>
      <c r="I95">
        <v>1</v>
      </c>
      <c r="J95" s="7"/>
      <c r="K95" s="7">
        <f>tblSalesTransactions[[#This Row],[Units]]*tblSalesTransactions[[#This Row],[UnitPrice]]</f>
        <v>0</v>
      </c>
      <c r="L95" s="7">
        <v>80</v>
      </c>
      <c r="M95" s="1">
        <f>tblSalesTransactions[[#This Row],[Revenue]]-tblSalesTransactions[[#This Row],[Cost]]</f>
        <v>-80</v>
      </c>
    </row>
    <row r="96" spans="1:13">
      <c r="A96" t="s">
        <v>194</v>
      </c>
      <c r="B96" s="12">
        <v>46161</v>
      </c>
      <c r="C96" s="12"/>
      <c r="E96" t="s">
        <v>195</v>
      </c>
      <c r="F96" s="2" t="s">
        <v>58</v>
      </c>
      <c r="I96">
        <v>1</v>
      </c>
      <c r="J96" s="7">
        <v>20</v>
      </c>
      <c r="K96" s="7">
        <f>tblSalesTransactions[[#This Row],[Units]]*tblSalesTransactions[[#This Row],[UnitPrice]]</f>
        <v>20</v>
      </c>
      <c r="L96" s="21">
        <f>65/4</f>
        <v>16.25</v>
      </c>
      <c r="M96" s="1">
        <f>tblSalesTransactions[[#This Row],[Revenue]]-tblSalesTransactions[[#This Row],[Cost]]</f>
        <v>3.75</v>
      </c>
    </row>
    <row r="97" spans="1:13">
      <c r="A97" t="s">
        <v>196</v>
      </c>
      <c r="B97" s="12">
        <v>46161</v>
      </c>
      <c r="C97" s="12"/>
      <c r="E97" t="s">
        <v>197</v>
      </c>
      <c r="F97" s="2" t="s">
        <v>58</v>
      </c>
      <c r="I97">
        <v>1</v>
      </c>
      <c r="J97" s="7">
        <v>20</v>
      </c>
      <c r="K97" s="7">
        <f>tblSalesTransactions[[#This Row],[Units]]*tblSalesTransactions[[#This Row],[UnitPrice]]</f>
        <v>20</v>
      </c>
      <c r="L97" s="21">
        <f t="shared" ref="L97:L99" si="2">65/4</f>
        <v>16.25</v>
      </c>
      <c r="M97" s="1">
        <f>tblSalesTransactions[[#This Row],[Revenue]]-tblSalesTransactions[[#This Row],[Cost]]</f>
        <v>3.75</v>
      </c>
    </row>
    <row r="98" spans="1:13">
      <c r="A98" t="s">
        <v>198</v>
      </c>
      <c r="B98" s="12">
        <v>46161</v>
      </c>
      <c r="C98" s="12"/>
      <c r="E98" t="s">
        <v>199</v>
      </c>
      <c r="F98" s="2" t="s">
        <v>58</v>
      </c>
      <c r="I98">
        <v>1</v>
      </c>
      <c r="J98" s="7">
        <v>20</v>
      </c>
      <c r="K98" s="7">
        <f>tblSalesTransactions[[#This Row],[Units]]*tblSalesTransactions[[#This Row],[UnitPrice]]</f>
        <v>20</v>
      </c>
      <c r="L98" s="21">
        <f t="shared" si="2"/>
        <v>16.25</v>
      </c>
      <c r="M98" s="1">
        <f>tblSalesTransactions[[#This Row],[Revenue]]-tblSalesTransactions[[#This Row],[Cost]]</f>
        <v>3.75</v>
      </c>
    </row>
    <row r="99" spans="1:13">
      <c r="A99" t="s">
        <v>200</v>
      </c>
      <c r="B99" s="12">
        <v>46161</v>
      </c>
      <c r="C99" s="12"/>
      <c r="E99" t="s">
        <v>201</v>
      </c>
      <c r="F99" s="2" t="s">
        <v>15</v>
      </c>
      <c r="I99">
        <v>1</v>
      </c>
      <c r="J99" s="7">
        <v>50</v>
      </c>
      <c r="K99" s="7">
        <f>tblSalesTransactions[[#This Row],[Units]]*tblSalesTransactions[[#This Row],[UnitPrice]]</f>
        <v>50</v>
      </c>
      <c r="L99" s="21">
        <f t="shared" si="2"/>
        <v>16.25</v>
      </c>
      <c r="M99" s="1">
        <f>tblSalesTransactions[[#This Row],[Revenue]]-tblSalesTransactions[[#This Row],[Cost]]</f>
        <v>33.75</v>
      </c>
    </row>
    <row r="100" spans="1:13">
      <c r="A100" t="s">
        <v>202</v>
      </c>
      <c r="B100" s="12">
        <v>46165</v>
      </c>
      <c r="C100" s="12">
        <v>46166</v>
      </c>
      <c r="E100" t="s">
        <v>203</v>
      </c>
      <c r="F100" s="2" t="s">
        <v>15</v>
      </c>
      <c r="I100">
        <v>1</v>
      </c>
      <c r="J100" s="7">
        <v>140</v>
      </c>
      <c r="K100" s="7">
        <f>tblSalesTransactions[[#This Row],[Units]]*tblSalesTransactions[[#This Row],[UnitPrice]]</f>
        <v>140</v>
      </c>
      <c r="L100" s="19">
        <v>50</v>
      </c>
      <c r="M100" s="1">
        <f>tblSalesTransactions[[#This Row],[Revenue]]-tblSalesTransactions[[#This Row],[Cost]]</f>
        <v>90</v>
      </c>
    </row>
    <row r="101" spans="1:13">
      <c r="A101" t="s">
        <v>204</v>
      </c>
      <c r="B101" s="12">
        <v>46166</v>
      </c>
      <c r="C101" s="12">
        <v>46174</v>
      </c>
      <c r="E101" t="s">
        <v>205</v>
      </c>
      <c r="F101" s="2" t="s">
        <v>15</v>
      </c>
      <c r="I101">
        <v>1</v>
      </c>
      <c r="J101" s="7">
        <v>270</v>
      </c>
      <c r="K101" s="7">
        <f>tblSalesTransactions[[#This Row],[Units]]*tblSalesTransactions[[#This Row],[UnitPrice]]</f>
        <v>270</v>
      </c>
      <c r="L101" s="21">
        <f>130/2</f>
        <v>65</v>
      </c>
      <c r="M101" s="1">
        <f>tblSalesTransactions[[#This Row],[Revenue]]-tblSalesTransactions[[#This Row],[Cost]]</f>
        <v>205</v>
      </c>
    </row>
    <row r="102" spans="1:13">
      <c r="A102" t="s">
        <v>206</v>
      </c>
      <c r="B102" s="12">
        <v>46166</v>
      </c>
      <c r="C102" s="12">
        <v>46184</v>
      </c>
      <c r="E102" t="s">
        <v>207</v>
      </c>
      <c r="F102" s="2" t="s">
        <v>58</v>
      </c>
      <c r="I102">
        <v>1</v>
      </c>
      <c r="J102" s="7">
        <v>240</v>
      </c>
      <c r="K102" s="7">
        <f>tblSalesTransactions[[#This Row],[Units]]*tblSalesTransactions[[#This Row],[UnitPrice]]</f>
        <v>240</v>
      </c>
      <c r="L102" s="21">
        <f>130/2</f>
        <v>65</v>
      </c>
      <c r="M102" s="1">
        <f>tblSalesTransactions[[#This Row],[Revenue]]-tblSalesTransactions[[#This Row],[Cost]]</f>
        <v>175</v>
      </c>
    </row>
    <row r="103" spans="1:13">
      <c r="A103" t="s">
        <v>208</v>
      </c>
      <c r="B103" s="12">
        <v>46165</v>
      </c>
      <c r="C103" s="12">
        <v>46179</v>
      </c>
      <c r="E103" t="s">
        <v>209</v>
      </c>
      <c r="F103" s="2" t="s">
        <v>58</v>
      </c>
      <c r="I103">
        <v>1</v>
      </c>
      <c r="J103" s="7">
        <v>250</v>
      </c>
      <c r="K103" s="7">
        <f>tblSalesTransactions[[#This Row],[Units]]*tblSalesTransactions[[#This Row],[UnitPrice]]</f>
        <v>250</v>
      </c>
      <c r="L103" s="7">
        <f>5.49+110.08</f>
        <v>115.57</v>
      </c>
      <c r="M103" s="1">
        <f>tblSalesTransactions[[#This Row],[Revenue]]-tblSalesTransactions[[#This Row],[Cost]]</f>
        <v>134.43</v>
      </c>
    </row>
    <row r="104" spans="1:13">
      <c r="A104" t="s">
        <v>210</v>
      </c>
      <c r="B104" s="12">
        <v>46167</v>
      </c>
      <c r="C104" s="12">
        <v>46182</v>
      </c>
      <c r="E104" t="s">
        <v>211</v>
      </c>
      <c r="F104" s="12" t="s">
        <v>41</v>
      </c>
      <c r="I104">
        <v>1</v>
      </c>
      <c r="J104" s="7">
        <v>0</v>
      </c>
      <c r="K104" s="7">
        <f>tblSalesTransactions[[#This Row],[Units]]*tblSalesTransactions[[#This Row],[UnitPrice]]</f>
        <v>0</v>
      </c>
      <c r="L104" s="7">
        <v>22.44</v>
      </c>
      <c r="M104" s="1">
        <f>tblSalesTransactions[[#This Row],[Revenue]]-tblSalesTransactions[[#This Row],[Cost]]</f>
        <v>-22.44</v>
      </c>
    </row>
    <row r="105" spans="1:13">
      <c r="A105" t="s">
        <v>212</v>
      </c>
      <c r="B105" s="12">
        <v>46167</v>
      </c>
      <c r="C105" s="12">
        <v>46180</v>
      </c>
      <c r="E105" t="s">
        <v>213</v>
      </c>
      <c r="F105" s="2" t="s">
        <v>18</v>
      </c>
      <c r="I105">
        <v>1</v>
      </c>
      <c r="J105" s="7">
        <v>210</v>
      </c>
      <c r="K105" s="7">
        <f>tblSalesTransactions[[#This Row],[Units]]*tblSalesTransactions[[#This Row],[UnitPrice]]</f>
        <v>210</v>
      </c>
      <c r="L105" s="7">
        <v>118.4</v>
      </c>
      <c r="M105" s="1">
        <f>tblSalesTransactions[[#This Row],[Revenue]]-tblSalesTransactions[[#This Row],[Cost]]</f>
        <v>91.6</v>
      </c>
    </row>
    <row r="106" spans="1:13">
      <c r="A106" t="s">
        <v>214</v>
      </c>
      <c r="B106" s="12">
        <v>46167</v>
      </c>
      <c r="C106" s="12">
        <v>46179</v>
      </c>
      <c r="E106" t="s">
        <v>215</v>
      </c>
      <c r="F106" s="2" t="s">
        <v>58</v>
      </c>
      <c r="I106">
        <v>1</v>
      </c>
      <c r="J106" s="7">
        <v>180</v>
      </c>
      <c r="K106" s="7">
        <f>tblSalesTransactions[[#This Row],[Units]]*tblSalesTransactions[[#This Row],[UnitPrice]]</f>
        <v>180</v>
      </c>
      <c r="L106" s="7">
        <v>130</v>
      </c>
      <c r="M106" s="1">
        <f>tblSalesTransactions[[#This Row],[Revenue]]-tblSalesTransactions[[#This Row],[Cost]]</f>
        <v>50</v>
      </c>
    </row>
    <row r="107" spans="1:13">
      <c r="A107" t="s">
        <v>216</v>
      </c>
      <c r="B107" s="12">
        <v>46167</v>
      </c>
      <c r="C107" s="12"/>
      <c r="E107" t="s">
        <v>217</v>
      </c>
      <c r="F107" s="2" t="s">
        <v>18</v>
      </c>
      <c r="I107">
        <v>1</v>
      </c>
      <c r="J107" s="7">
        <v>60</v>
      </c>
      <c r="K107" s="7">
        <f>tblSalesTransactions[[#This Row],[Units]]*tblSalesTransactions[[#This Row],[UnitPrice]]</f>
        <v>60</v>
      </c>
      <c r="L107" s="7">
        <v>65.5</v>
      </c>
      <c r="M107" s="1">
        <f>tblSalesTransactions[[#This Row],[Revenue]]-tblSalesTransactions[[#This Row],[Cost]]</f>
        <v>-5.5</v>
      </c>
    </row>
    <row r="108" spans="1:13">
      <c r="A108" t="s">
        <v>218</v>
      </c>
      <c r="B108" s="12">
        <v>46169</v>
      </c>
      <c r="C108" s="12"/>
      <c r="E108" t="s">
        <v>219</v>
      </c>
      <c r="F108" s="2"/>
      <c r="I108">
        <v>1</v>
      </c>
      <c r="J108" s="7">
        <v>70</v>
      </c>
      <c r="K108" s="7">
        <f>tblSalesTransactions[[#This Row],[Units]]*tblSalesTransactions[[#This Row],[UnitPrice]]</f>
        <v>70</v>
      </c>
      <c r="L108" s="7">
        <f>14.88+81.25</f>
        <v>96.13</v>
      </c>
      <c r="M108" s="1">
        <f>tblSalesTransactions[[#This Row],[Revenue]]-tblSalesTransactions[[#This Row],[Cost]]</f>
        <v>-26.129999999999995</v>
      </c>
    </row>
    <row r="109" spans="1:13">
      <c r="A109" t="s">
        <v>220</v>
      </c>
      <c r="B109" s="12">
        <v>46172</v>
      </c>
      <c r="C109" s="12">
        <v>46180</v>
      </c>
      <c r="E109" t="s">
        <v>221</v>
      </c>
      <c r="F109" s="2" t="s">
        <v>18</v>
      </c>
      <c r="I109">
        <v>1</v>
      </c>
      <c r="J109" s="7">
        <v>60</v>
      </c>
      <c r="K109" s="7">
        <f>tblSalesTransactions[[#This Row],[Units]]*tblSalesTransactions[[#This Row],[UnitPrice]]</f>
        <v>60</v>
      </c>
      <c r="L109" s="7">
        <v>20</v>
      </c>
      <c r="M109" s="1">
        <f>tblSalesTransactions[[#This Row],[Revenue]]-tblSalesTransactions[[#This Row],[Cost]]</f>
        <v>40</v>
      </c>
    </row>
    <row r="110" spans="1:13">
      <c r="A110" t="s">
        <v>222</v>
      </c>
      <c r="B110" s="12">
        <v>46173</v>
      </c>
      <c r="C110" s="12"/>
      <c r="E110" t="s">
        <v>223</v>
      </c>
      <c r="F110" s="2" t="s">
        <v>58</v>
      </c>
      <c r="I110">
        <v>1</v>
      </c>
      <c r="J110" s="7">
        <v>120</v>
      </c>
      <c r="K110" s="7">
        <f>tblSalesTransactions[[#This Row],[Units]]*tblSalesTransactions[[#This Row],[UnitPrice]]</f>
        <v>120</v>
      </c>
      <c r="L110" s="7">
        <v>60</v>
      </c>
      <c r="M110" s="1">
        <f>tblSalesTransactions[[#This Row],[Revenue]]-tblSalesTransactions[[#This Row],[Cost]]</f>
        <v>60</v>
      </c>
    </row>
    <row r="111" spans="1:13">
      <c r="A111" t="s">
        <v>224</v>
      </c>
      <c r="B111" s="12">
        <v>46175</v>
      </c>
      <c r="C111" s="12"/>
      <c r="E111" t="s">
        <v>225</v>
      </c>
      <c r="F111" s="2" t="s">
        <v>15</v>
      </c>
      <c r="I111">
        <v>1</v>
      </c>
      <c r="J111" s="7">
        <v>56</v>
      </c>
      <c r="K111" s="7">
        <f>tblSalesTransactions[[#This Row],[Units]]*tblSalesTransactions[[#This Row],[UnitPrice]]</f>
        <v>56</v>
      </c>
      <c r="L111" s="7">
        <f>52.19+13.12</f>
        <v>65.31</v>
      </c>
      <c r="M111" s="1">
        <f>tblSalesTransactions[[#This Row],[Revenue]]-tblSalesTransactions[[#This Row],[Cost]]</f>
        <v>-9.3100000000000023</v>
      </c>
    </row>
    <row r="112" spans="1:13">
      <c r="A112" t="s">
        <v>226</v>
      </c>
      <c r="B112" s="12">
        <v>46177</v>
      </c>
      <c r="C112" s="12"/>
      <c r="E112" t="s">
        <v>227</v>
      </c>
      <c r="F112" s="2" t="s">
        <v>15</v>
      </c>
      <c r="I112">
        <v>1</v>
      </c>
      <c r="J112" s="7">
        <v>70</v>
      </c>
      <c r="K112" s="7">
        <f>tblSalesTransactions[[#This Row],[Units]]*tblSalesTransactions[[#This Row],[UnitPrice]]</f>
        <v>70</v>
      </c>
      <c r="L112" s="7">
        <v>57.91</v>
      </c>
      <c r="M112" s="1">
        <f>tblSalesTransactions[[#This Row],[Revenue]]-tblSalesTransactions[[#This Row],[Cost]]</f>
        <v>12.090000000000003</v>
      </c>
    </row>
    <row r="113" spans="1:13">
      <c r="A113" t="s">
        <v>228</v>
      </c>
      <c r="B113" s="12">
        <v>46179</v>
      </c>
      <c r="C113" s="12"/>
      <c r="E113" t="s">
        <v>229</v>
      </c>
      <c r="F113" s="2" t="s">
        <v>58</v>
      </c>
      <c r="I113">
        <v>1</v>
      </c>
      <c r="J113" s="7">
        <v>250</v>
      </c>
      <c r="K113" s="7">
        <f>tblSalesTransactions[[#This Row],[Units]]*tblSalesTransactions[[#This Row],[UnitPrice]]</f>
        <v>250</v>
      </c>
      <c r="L113" s="7">
        <v>181.72</v>
      </c>
      <c r="M113" s="1">
        <f>tblSalesTransactions[[#This Row],[Revenue]]-tblSalesTransactions[[#This Row],[Cost]]</f>
        <v>68.28</v>
      </c>
    </row>
    <row r="114" spans="1:13">
      <c r="A114" t="s">
        <v>230</v>
      </c>
      <c r="B114" s="12">
        <v>46180</v>
      </c>
      <c r="C114" s="12">
        <v>46184</v>
      </c>
      <c r="E114" t="s">
        <v>231</v>
      </c>
      <c r="F114" s="12" t="s">
        <v>41</v>
      </c>
      <c r="I114">
        <v>1</v>
      </c>
      <c r="J114" s="7">
        <v>200</v>
      </c>
      <c r="K114" s="7">
        <f>tblSalesTransactions[[#This Row],[Units]]*tblSalesTransactions[[#This Row],[UnitPrice]]</f>
        <v>200</v>
      </c>
      <c r="L114" s="7">
        <v>99.39</v>
      </c>
      <c r="M114" s="1">
        <f>tblSalesTransactions[[#This Row],[Revenue]]-tblSalesTransactions[[#This Row],[Cost]]</f>
        <v>100.61</v>
      </c>
    </row>
    <row r="115" spans="1:13">
      <c r="A115" t="s">
        <v>232</v>
      </c>
      <c r="B115" s="12">
        <v>46182</v>
      </c>
      <c r="C115" s="12"/>
      <c r="E115" t="s">
        <v>233</v>
      </c>
      <c r="F115" s="2" t="s">
        <v>58</v>
      </c>
      <c r="I115">
        <v>1</v>
      </c>
      <c r="J115" s="7">
        <v>100</v>
      </c>
      <c r="K115" s="7">
        <f>tblSalesTransactions[[#This Row],[Units]]*tblSalesTransactions[[#This Row],[UnitPrice]]</f>
        <v>100</v>
      </c>
      <c r="L115" s="7">
        <v>48.84</v>
      </c>
      <c r="M115" s="1">
        <f>tblSalesTransactions[[#This Row],[Revenue]]-tblSalesTransactions[[#This Row],[Cost]]</f>
        <v>51.16</v>
      </c>
    </row>
    <row r="116" spans="1:13">
      <c r="A116" t="s">
        <v>234</v>
      </c>
      <c r="B116" s="12">
        <v>46181</v>
      </c>
      <c r="C116" s="12"/>
      <c r="E116" t="s">
        <v>235</v>
      </c>
      <c r="F116" s="2" t="s">
        <v>58</v>
      </c>
      <c r="I116">
        <v>1</v>
      </c>
      <c r="J116" s="7">
        <v>140</v>
      </c>
      <c r="K116" s="7">
        <f>tblSalesTransactions[[#This Row],[Units]]*tblSalesTransactions[[#This Row],[UnitPrice]]</f>
        <v>140</v>
      </c>
      <c r="L116" s="7">
        <f>8+60.84</f>
        <v>68.84</v>
      </c>
      <c r="M116" s="1">
        <f>tblSalesTransactions[[#This Row],[Revenue]]-tblSalesTransactions[[#This Row],[Cost]]</f>
        <v>71.16</v>
      </c>
    </row>
    <row r="117" spans="1:13">
      <c r="A117" t="s">
        <v>236</v>
      </c>
      <c r="B117" s="12">
        <v>46183</v>
      </c>
      <c r="C117" s="12"/>
      <c r="E117" t="s">
        <v>237</v>
      </c>
      <c r="F117" s="2" t="s">
        <v>18</v>
      </c>
      <c r="I117">
        <v>1</v>
      </c>
      <c r="J117" s="7">
        <v>80</v>
      </c>
      <c r="K117" s="7">
        <f>tblSalesTransactions[[#This Row],[Units]]*tblSalesTransactions[[#This Row],[UnitPrice]]</f>
        <v>80</v>
      </c>
      <c r="L117" s="7">
        <v>40</v>
      </c>
      <c r="M117" s="1">
        <f>tblSalesTransactions[[#This Row],[Revenue]]-tblSalesTransactions[[#This Row],[Cost]]</f>
        <v>40</v>
      </c>
    </row>
    <row r="118" spans="1:13">
      <c r="A118" t="s">
        <v>238</v>
      </c>
      <c r="B118" s="12">
        <v>46183</v>
      </c>
      <c r="C118" s="12"/>
      <c r="E118" t="s">
        <v>239</v>
      </c>
      <c r="F118" s="2" t="s">
        <v>58</v>
      </c>
      <c r="I118">
        <v>1</v>
      </c>
      <c r="J118" s="7">
        <v>50</v>
      </c>
      <c r="K118" s="7">
        <f>tblSalesTransactions[[#This Row],[Units]]*tblSalesTransactions[[#This Row],[UnitPrice]]</f>
        <v>50</v>
      </c>
      <c r="L118" s="7">
        <f>16.98+50</f>
        <v>66.98</v>
      </c>
      <c r="M118" s="1">
        <f>tblSalesTransactions[[#This Row],[Revenue]]-tblSalesTransactions[[#This Row],[Cost]]</f>
        <v>-16.980000000000004</v>
      </c>
    </row>
    <row r="119" spans="1:13">
      <c r="A119" t="s">
        <v>240</v>
      </c>
      <c r="B119" s="12">
        <v>46183</v>
      </c>
      <c r="C119" s="12"/>
      <c r="E119" t="s">
        <v>26</v>
      </c>
      <c r="F119" s="2"/>
      <c r="I119">
        <v>1</v>
      </c>
      <c r="J119" s="7">
        <v>50</v>
      </c>
      <c r="K119" s="7">
        <f>tblSalesTransactions[[#This Row],[Units]]*tblSalesTransactions[[#This Row],[UnitPrice]]</f>
        <v>50</v>
      </c>
      <c r="L119" s="20">
        <f>(80+12.99+20.16)/2</f>
        <v>56.574999999999996</v>
      </c>
      <c r="M119" s="1">
        <f>tblSalesTransactions[[#This Row],[Revenue]]-tblSalesTransactions[[#This Row],[Cost]]</f>
        <v>-6.5749999999999957</v>
      </c>
    </row>
    <row r="120" spans="1:13">
      <c r="A120" t="s">
        <v>241</v>
      </c>
      <c r="B120" s="12">
        <v>46183</v>
      </c>
      <c r="C120" s="12"/>
      <c r="E120" t="s">
        <v>242</v>
      </c>
      <c r="F120" s="2"/>
      <c r="I120">
        <v>1</v>
      </c>
      <c r="J120" s="7">
        <v>60</v>
      </c>
      <c r="K120" s="7">
        <f>tblSalesTransactions[[#This Row],[Units]]*tblSalesTransactions[[#This Row],[UnitPrice]]</f>
        <v>60</v>
      </c>
      <c r="L120" s="20">
        <f>(80+12.99+20.16)/2</f>
        <v>56.574999999999996</v>
      </c>
      <c r="M120" s="1">
        <f>tblSalesTransactions[[#This Row],[Revenue]]-tblSalesTransactions[[#This Row],[Cost]]</f>
        <v>3.4250000000000043</v>
      </c>
    </row>
    <row r="121" spans="1:13">
      <c r="A121" t="s">
        <v>243</v>
      </c>
      <c r="B121" s="12">
        <v>46183</v>
      </c>
      <c r="C121" s="12"/>
      <c r="E121" t="s">
        <v>244</v>
      </c>
      <c r="F121" s="2"/>
      <c r="I121">
        <v>1</v>
      </c>
      <c r="J121" s="7"/>
      <c r="K121" s="7">
        <f>tblSalesTransactions[[#This Row],[Units]]*tblSalesTransactions[[#This Row],[UnitPrice]]</f>
        <v>0</v>
      </c>
      <c r="L121" s="7">
        <v>76.55</v>
      </c>
      <c r="M121" s="1">
        <f>tblSalesTransactions[[#This Row],[Revenue]]-tblSalesTransactions[[#This Row],[Cost]]</f>
        <v>-76.55</v>
      </c>
    </row>
    <row r="122" spans="1:13">
      <c r="A122" t="s">
        <v>245</v>
      </c>
      <c r="B122" s="12">
        <v>46184</v>
      </c>
      <c r="C122" s="12"/>
      <c r="E122" t="s">
        <v>246</v>
      </c>
      <c r="F122" s="2"/>
      <c r="I122">
        <v>1</v>
      </c>
      <c r="J122" s="7">
        <v>140</v>
      </c>
      <c r="K122" s="7">
        <f>tblSalesTransactions[[#This Row],[Units]]*tblSalesTransactions[[#This Row],[UnitPrice]]</f>
        <v>140</v>
      </c>
      <c r="L122" s="7">
        <v>70</v>
      </c>
      <c r="M122" s="1">
        <f>tblSalesTransactions[[#This Row],[Revenue]]-tblSalesTransactions[[#This Row],[Cost]]</f>
        <v>70</v>
      </c>
    </row>
    <row r="123" spans="1:13">
      <c r="A123" t="s">
        <v>247</v>
      </c>
      <c r="B123" s="12">
        <v>46186</v>
      </c>
      <c r="C123" s="12"/>
      <c r="E123" t="s">
        <v>248</v>
      </c>
      <c r="F123" s="2"/>
      <c r="I123">
        <v>1</v>
      </c>
      <c r="J123" s="7"/>
      <c r="K123" s="7">
        <f>tblSalesTransactions[[#This Row],[Units]]*tblSalesTransactions[[#This Row],[UnitPrice]]</f>
        <v>0</v>
      </c>
      <c r="L123" s="7">
        <v>80</v>
      </c>
      <c r="M123" s="1">
        <f>tblSalesTransactions[[#This Row],[Revenue]]-tblSalesTransactions[[#This Row],[Cost]]</f>
        <v>-80</v>
      </c>
    </row>
    <row r="124" spans="1:13">
      <c r="A124" t="s">
        <v>249</v>
      </c>
      <c r="B124" s="12">
        <v>46186</v>
      </c>
      <c r="C124" s="12"/>
      <c r="E124" t="s">
        <v>154</v>
      </c>
      <c r="F124" s="2"/>
      <c r="I124">
        <v>1</v>
      </c>
      <c r="J124" s="7">
        <v>50</v>
      </c>
      <c r="K124" s="7">
        <f>tblSalesTransactions[[#This Row],[Units]]*tblSalesTransactions[[#This Row],[UnitPrice]]</f>
        <v>50</v>
      </c>
      <c r="L124" s="7">
        <v>20</v>
      </c>
      <c r="M124" s="1">
        <f>tblSalesTransactions[[#This Row],[Revenue]]-tblSalesTransactions[[#This Row],[Cost]]</f>
        <v>30</v>
      </c>
    </row>
    <row r="125" spans="1:13">
      <c r="A125" t="s">
        <v>250</v>
      </c>
      <c r="B125" s="12">
        <v>46186</v>
      </c>
      <c r="C125" s="12"/>
      <c r="E125" t="s">
        <v>251</v>
      </c>
      <c r="F125" s="2"/>
      <c r="I125">
        <v>1</v>
      </c>
      <c r="J125" s="7"/>
      <c r="K125" s="7">
        <f>tblSalesTransactions[[#This Row],[Units]]*tblSalesTransactions[[#This Row],[UnitPrice]]</f>
        <v>0</v>
      </c>
      <c r="L125" s="7">
        <v>40</v>
      </c>
      <c r="M125" s="1">
        <f>tblSalesTransactions[[#This Row],[Revenue]]-tblSalesTransactions[[#This Row],[Cost]]</f>
        <v>-40</v>
      </c>
    </row>
    <row r="126" spans="1:13">
      <c r="A126" t="s">
        <v>252</v>
      </c>
      <c r="B126" s="12">
        <v>46186</v>
      </c>
      <c r="C126" s="12"/>
      <c r="E126" t="s">
        <v>185</v>
      </c>
      <c r="F126" s="2"/>
      <c r="I126">
        <v>1</v>
      </c>
      <c r="J126" s="7">
        <v>100</v>
      </c>
      <c r="K126" s="7">
        <f>tblSalesTransactions[[#This Row],[Units]]*tblSalesTransactions[[#This Row],[UnitPrice]]</f>
        <v>100</v>
      </c>
      <c r="L126" s="21">
        <f>100/2</f>
        <v>50</v>
      </c>
      <c r="M126" s="1">
        <f>tblSalesTransactions[[#This Row],[Revenue]]-tblSalesTransactions[[#This Row],[Cost]]</f>
        <v>50</v>
      </c>
    </row>
    <row r="127" spans="1:13">
      <c r="A127" t="s">
        <v>253</v>
      </c>
      <c r="B127" s="12">
        <v>46186</v>
      </c>
      <c r="C127" s="12"/>
      <c r="E127" t="s">
        <v>254</v>
      </c>
      <c r="F127" s="2"/>
      <c r="I127">
        <v>1</v>
      </c>
      <c r="J127" s="7">
        <v>100</v>
      </c>
      <c r="K127" s="7">
        <f>tblSalesTransactions[[#This Row],[Units]]*tblSalesTransactions[[#This Row],[UnitPrice]]</f>
        <v>100</v>
      </c>
      <c r="L127" s="21">
        <f>100/2</f>
        <v>50</v>
      </c>
      <c r="M127" s="1">
        <f>tblSalesTransactions[[#This Row],[Revenue]]-tblSalesTransactions[[#This Row],[Cost]]</f>
        <v>50</v>
      </c>
    </row>
    <row r="128" spans="1:13">
      <c r="A128" t="s">
        <v>255</v>
      </c>
      <c r="B128" s="12">
        <v>46187</v>
      </c>
      <c r="C128" s="12"/>
      <c r="E128" t="s">
        <v>256</v>
      </c>
      <c r="F128" s="2"/>
      <c r="I128">
        <v>1</v>
      </c>
      <c r="J128" s="7">
        <v>115</v>
      </c>
      <c r="K128" s="7">
        <f>tblSalesTransactions[[#This Row],[Units]]*tblSalesTransactions[[#This Row],[UnitPrice]]</f>
        <v>115</v>
      </c>
      <c r="L128" s="7">
        <v>70</v>
      </c>
      <c r="M128" s="1">
        <f>tblSalesTransactions[[#This Row],[Revenue]]-tblSalesTransactions[[#This Row],[Cost]]</f>
        <v>45</v>
      </c>
    </row>
    <row r="129" spans="1:13">
      <c r="A129" t="s">
        <v>257</v>
      </c>
      <c r="B129" s="12">
        <v>46187</v>
      </c>
      <c r="C129" s="12"/>
      <c r="E129" t="s">
        <v>258</v>
      </c>
      <c r="F129" s="2"/>
      <c r="I129">
        <v>1</v>
      </c>
      <c r="J129" s="7">
        <v>60</v>
      </c>
      <c r="K129" s="7">
        <f>tblSalesTransactions[[#This Row],[Units]]*tblSalesTransactions[[#This Row],[UnitPrice]]</f>
        <v>60</v>
      </c>
      <c r="L129" s="7">
        <v>30</v>
      </c>
      <c r="M129" s="1">
        <f>tblSalesTransactions[[#This Row],[Revenue]]-tblSalesTransactions[[#This Row],[Cost]]</f>
        <v>30</v>
      </c>
    </row>
    <row r="130" spans="1:13">
      <c r="A130" t="s">
        <v>259</v>
      </c>
      <c r="B130" s="12">
        <v>46187</v>
      </c>
      <c r="C130" s="12"/>
      <c r="E130" t="s">
        <v>260</v>
      </c>
      <c r="F130" s="2"/>
      <c r="I130">
        <v>1</v>
      </c>
      <c r="J130" s="7"/>
      <c r="K130" s="7">
        <f>tblSalesTransactions[[#This Row],[Units]]*tblSalesTransactions[[#This Row],[UnitPrice]]</f>
        <v>0</v>
      </c>
      <c r="L130" s="7">
        <v>10</v>
      </c>
      <c r="M130" s="1">
        <f>tblSalesTransactions[[#This Row],[Revenue]]-tblSalesTransactions[[#This Row],[Cost]]</f>
        <v>-10</v>
      </c>
    </row>
    <row r="131" spans="1:13">
      <c r="A131" t="s">
        <v>261</v>
      </c>
      <c r="B131" s="12">
        <v>46187</v>
      </c>
      <c r="C131" s="12"/>
      <c r="E131" t="s">
        <v>262</v>
      </c>
      <c r="F131" s="2"/>
      <c r="I131">
        <v>1</v>
      </c>
      <c r="J131" s="7"/>
      <c r="K131" s="7">
        <f>tblSalesTransactions[[#This Row],[Units]]*tblSalesTransactions[[#This Row],[UnitPrice]]</f>
        <v>0</v>
      </c>
      <c r="L131" s="7">
        <v>50</v>
      </c>
      <c r="M131" s="1">
        <f>tblSalesTransactions[[#This Row],[Revenue]]-tblSalesTransactions[[#This Row],[Cost]]</f>
        <v>-50</v>
      </c>
    </row>
    <row r="132" spans="1:13">
      <c r="A132" t="s">
        <v>263</v>
      </c>
      <c r="B132" s="12">
        <v>46188</v>
      </c>
      <c r="C132" s="12"/>
      <c r="E132" t="s">
        <v>264</v>
      </c>
      <c r="F132" s="2"/>
      <c r="I132">
        <v>1</v>
      </c>
      <c r="J132" s="7"/>
      <c r="K132" s="7">
        <f>tblSalesTransactions[[#This Row],[Units]]*tblSalesTransactions[[#This Row],[UnitPrice]]</f>
        <v>0</v>
      </c>
      <c r="L132" s="20">
        <f>150/8</f>
        <v>18.75</v>
      </c>
      <c r="M132" s="1">
        <f>tblSalesTransactions[[#This Row],[Revenue]]-tblSalesTransactions[[#This Row],[Cost]]</f>
        <v>-18.75</v>
      </c>
    </row>
    <row r="133" spans="1:13">
      <c r="A133" t="s">
        <v>265</v>
      </c>
      <c r="B133" s="12">
        <v>46188</v>
      </c>
      <c r="C133" s="12"/>
      <c r="E133" t="s">
        <v>266</v>
      </c>
      <c r="F133" s="2"/>
      <c r="I133">
        <v>1</v>
      </c>
      <c r="J133" s="7"/>
      <c r="K133" s="7">
        <f>tblSalesTransactions[[#This Row],[Units]]*tblSalesTransactions[[#This Row],[UnitPrice]]</f>
        <v>0</v>
      </c>
      <c r="L133" s="20">
        <f t="shared" ref="L133:L139" si="3">150/8</f>
        <v>18.75</v>
      </c>
      <c r="M133" s="1">
        <f>tblSalesTransactions[[#This Row],[Revenue]]-tblSalesTransactions[[#This Row],[Cost]]</f>
        <v>-18.75</v>
      </c>
    </row>
    <row r="134" spans="1:13">
      <c r="A134" t="s">
        <v>267</v>
      </c>
      <c r="B134" s="12">
        <v>46188</v>
      </c>
      <c r="C134" s="12"/>
      <c r="E134" t="s">
        <v>174</v>
      </c>
      <c r="F134" s="2"/>
      <c r="I134">
        <v>1</v>
      </c>
      <c r="J134" s="7">
        <v>70</v>
      </c>
      <c r="K134" s="7">
        <f>tblSalesTransactions[[#This Row],[Units]]*tblSalesTransactions[[#This Row],[UnitPrice]]</f>
        <v>70</v>
      </c>
      <c r="L134" s="20">
        <f t="shared" si="3"/>
        <v>18.75</v>
      </c>
      <c r="M134" s="1">
        <f>tblSalesTransactions[[#This Row],[Revenue]]-tblSalesTransactions[[#This Row],[Cost]]</f>
        <v>51.25</v>
      </c>
    </row>
    <row r="135" spans="1:13">
      <c r="A135" t="s">
        <v>268</v>
      </c>
      <c r="B135" s="12">
        <v>46188</v>
      </c>
      <c r="C135" s="12"/>
      <c r="E135" t="s">
        <v>269</v>
      </c>
      <c r="F135" s="2"/>
      <c r="I135">
        <v>1</v>
      </c>
      <c r="J135" s="7">
        <v>80</v>
      </c>
      <c r="K135" s="7">
        <f>tblSalesTransactions[[#This Row],[Units]]*tblSalesTransactions[[#This Row],[UnitPrice]]</f>
        <v>80</v>
      </c>
      <c r="L135" s="20">
        <f t="shared" si="3"/>
        <v>18.75</v>
      </c>
      <c r="M135" s="1">
        <f>tblSalesTransactions[[#This Row],[Revenue]]-tblSalesTransactions[[#This Row],[Cost]]</f>
        <v>61.25</v>
      </c>
    </row>
    <row r="136" spans="1:13">
      <c r="A136" t="s">
        <v>270</v>
      </c>
      <c r="B136" s="12">
        <v>46188</v>
      </c>
      <c r="C136" s="12"/>
      <c r="E136" t="s">
        <v>271</v>
      </c>
      <c r="F136" s="2"/>
      <c r="I136">
        <v>1</v>
      </c>
      <c r="J136" s="7">
        <v>33</v>
      </c>
      <c r="K136" s="7">
        <f>tblSalesTransactions[[#This Row],[Units]]*tblSalesTransactions[[#This Row],[UnitPrice]]</f>
        <v>33</v>
      </c>
      <c r="L136" s="20">
        <f t="shared" si="3"/>
        <v>18.75</v>
      </c>
      <c r="M136" s="1">
        <f>tblSalesTransactions[[#This Row],[Revenue]]-tblSalesTransactions[[#This Row],[Cost]]</f>
        <v>14.25</v>
      </c>
    </row>
    <row r="137" spans="1:13">
      <c r="A137" t="s">
        <v>272</v>
      </c>
      <c r="B137" s="12">
        <v>46188</v>
      </c>
      <c r="C137" s="12"/>
      <c r="E137" t="s">
        <v>273</v>
      </c>
      <c r="F137" s="2"/>
      <c r="I137">
        <v>1</v>
      </c>
      <c r="J137" s="7"/>
      <c r="K137" s="7">
        <f>tblSalesTransactions[[#This Row],[Units]]*tblSalesTransactions[[#This Row],[UnitPrice]]</f>
        <v>0</v>
      </c>
      <c r="L137" s="20">
        <f t="shared" si="3"/>
        <v>18.75</v>
      </c>
      <c r="M137" s="1">
        <f>tblSalesTransactions[[#This Row],[Revenue]]-tblSalesTransactions[[#This Row],[Cost]]</f>
        <v>-18.75</v>
      </c>
    </row>
    <row r="138" spans="1:13">
      <c r="A138" t="s">
        <v>274</v>
      </c>
      <c r="B138" s="12">
        <v>46188</v>
      </c>
      <c r="C138" s="12"/>
      <c r="E138" t="s">
        <v>275</v>
      </c>
      <c r="F138" s="2"/>
      <c r="I138">
        <v>1</v>
      </c>
      <c r="J138" s="7"/>
      <c r="K138" s="7">
        <f>tblSalesTransactions[[#This Row],[Units]]*tblSalesTransactions[[#This Row],[UnitPrice]]</f>
        <v>0</v>
      </c>
      <c r="L138" s="20">
        <f t="shared" si="3"/>
        <v>18.75</v>
      </c>
      <c r="M138" s="1">
        <f>tblSalesTransactions[[#This Row],[Revenue]]-tblSalesTransactions[[#This Row],[Cost]]</f>
        <v>-18.75</v>
      </c>
    </row>
    <row r="139" spans="1:13">
      <c r="A139" t="s">
        <v>276</v>
      </c>
      <c r="B139" s="12">
        <v>46188</v>
      </c>
      <c r="C139" s="12"/>
      <c r="E139" t="s">
        <v>277</v>
      </c>
      <c r="F139" s="2"/>
      <c r="I139">
        <v>1</v>
      </c>
      <c r="J139" s="7"/>
      <c r="K139" s="7">
        <f>tblSalesTransactions[[#This Row],[Units]]*tblSalesTransactions[[#This Row],[UnitPrice]]</f>
        <v>0</v>
      </c>
      <c r="L139" s="20">
        <f t="shared" si="3"/>
        <v>18.75</v>
      </c>
      <c r="M139" s="1">
        <f>tblSalesTransactions[[#This Row],[Revenue]]-tblSalesTransactions[[#This Row],[Cost]]</f>
        <v>-18.75</v>
      </c>
    </row>
    <row r="140" spans="1:13">
      <c r="A140" t="s">
        <v>278</v>
      </c>
      <c r="B140" s="12">
        <v>46191</v>
      </c>
      <c r="C140" s="12"/>
      <c r="E140" t="s">
        <v>279</v>
      </c>
      <c r="F140" s="2"/>
      <c r="I140">
        <v>1</v>
      </c>
      <c r="J140" s="7"/>
      <c r="K140" s="7">
        <f>tblSalesTransactions[[#This Row],[Units]]*tblSalesTransactions[[#This Row],[UnitPrice]]</f>
        <v>0</v>
      </c>
      <c r="L140" s="7">
        <v>30</v>
      </c>
      <c r="M140" s="1">
        <f>tblSalesTransactions[[#This Row],[Revenue]]-tblSalesTransactions[[#This Row],[Cost]]</f>
        <v>-30</v>
      </c>
    </row>
    <row r="141" spans="1:13">
      <c r="A141" t="s">
        <v>280</v>
      </c>
      <c r="B141" s="12">
        <v>46194</v>
      </c>
      <c r="C141" s="12"/>
      <c r="E141" t="s">
        <v>281</v>
      </c>
      <c r="F141" s="2"/>
      <c r="I141">
        <v>1</v>
      </c>
      <c r="J141" s="7">
        <v>170</v>
      </c>
      <c r="K141" s="7">
        <f>tblSalesTransactions[[#This Row],[Units]]*tblSalesTransactions[[#This Row],[UnitPrice]]</f>
        <v>170</v>
      </c>
      <c r="L141" s="20">
        <f>(9+150)/2</f>
        <v>79.5</v>
      </c>
      <c r="M141" s="1">
        <f>tblSalesTransactions[[#This Row],[Revenue]]-tblSalesTransactions[[#This Row],[Cost]]</f>
        <v>90.5</v>
      </c>
    </row>
    <row r="142" spans="1:13">
      <c r="A142" t="s">
        <v>282</v>
      </c>
      <c r="B142" s="12">
        <v>46194</v>
      </c>
      <c r="C142" s="12"/>
      <c r="E142" t="s">
        <v>283</v>
      </c>
      <c r="F142" s="2"/>
      <c r="I142">
        <v>1</v>
      </c>
      <c r="J142" s="7">
        <v>110</v>
      </c>
      <c r="K142" s="7">
        <f>tblSalesTransactions[[#This Row],[Units]]*tblSalesTransactions[[#This Row],[UnitPrice]]</f>
        <v>110</v>
      </c>
      <c r="L142" s="20">
        <f>(9+150)/2</f>
        <v>79.5</v>
      </c>
      <c r="M142" s="1">
        <f>tblSalesTransactions[[#This Row],[Revenue]]-tblSalesTransactions[[#This Row],[Cost]]</f>
        <v>30.5</v>
      </c>
    </row>
    <row r="143" spans="1:13">
      <c r="A143" t="s">
        <v>284</v>
      </c>
      <c r="B143" s="12">
        <v>46191</v>
      </c>
      <c r="C143" s="12"/>
      <c r="E143" t="s">
        <v>285</v>
      </c>
      <c r="F143" s="2"/>
      <c r="I143">
        <v>1</v>
      </c>
      <c r="J143" s="7">
        <v>220</v>
      </c>
      <c r="K143" s="7">
        <f>tblSalesTransactions[[#This Row],[Units]]*tblSalesTransactions[[#This Row],[UnitPrice]]</f>
        <v>220</v>
      </c>
      <c r="L143" s="7">
        <v>175.6</v>
      </c>
      <c r="M143" s="1">
        <f>tblSalesTransactions[[#This Row],[Revenue]]-tblSalesTransactions[[#This Row],[Cost]]</f>
        <v>44.400000000000006</v>
      </c>
    </row>
    <row r="144" spans="1:13">
      <c r="A144" t="s">
        <v>286</v>
      </c>
      <c r="B144" s="12">
        <v>46191</v>
      </c>
      <c r="C144" s="12"/>
      <c r="E144" t="s">
        <v>287</v>
      </c>
      <c r="F144" s="2"/>
      <c r="I144">
        <v>1</v>
      </c>
      <c r="J144" s="7">
        <v>220</v>
      </c>
      <c r="K144" s="7">
        <f>tblSalesTransactions[[#This Row],[Units]]*tblSalesTransactions[[#This Row],[UnitPrice]]</f>
        <v>220</v>
      </c>
      <c r="L144" s="7">
        <f>158.41-20</f>
        <v>138.41</v>
      </c>
      <c r="M144" s="1">
        <f>tblSalesTransactions[[#This Row],[Revenue]]-tblSalesTransactions[[#This Row],[Cost]]</f>
        <v>81.59</v>
      </c>
    </row>
    <row r="145" spans="1:13">
      <c r="A145" t="s">
        <v>288</v>
      </c>
      <c r="B145" s="12">
        <v>46196</v>
      </c>
      <c r="C145" s="12"/>
      <c r="E145" t="s">
        <v>289</v>
      </c>
      <c r="F145" s="2"/>
      <c r="I145">
        <v>1</v>
      </c>
      <c r="J145" s="7">
        <v>120</v>
      </c>
      <c r="K145" s="7">
        <f>tblSalesTransactions[[#This Row],[Units]]*tblSalesTransactions[[#This Row],[UnitPrice]]</f>
        <v>120</v>
      </c>
      <c r="L145" s="7">
        <v>67</v>
      </c>
      <c r="M145" s="1">
        <f>tblSalesTransactions[[#This Row],[Revenue]]-tblSalesTransactions[[#This Row],[Cost]]</f>
        <v>53</v>
      </c>
    </row>
    <row r="146" spans="1:13">
      <c r="A146" t="s">
        <v>290</v>
      </c>
      <c r="B146" s="12">
        <v>46197</v>
      </c>
      <c r="C146" s="12"/>
      <c r="E146" t="s">
        <v>291</v>
      </c>
      <c r="F146" s="2"/>
      <c r="I146">
        <v>1</v>
      </c>
      <c r="J146" s="7"/>
      <c r="K146" s="7">
        <f>tblSalesTransactions[[#This Row],[Units]]*tblSalesTransactions[[#This Row],[UnitPrice]]</f>
        <v>0</v>
      </c>
      <c r="L146" s="7">
        <v>72</v>
      </c>
      <c r="M146" s="1">
        <f>tblSalesTransactions[[#This Row],[Revenue]]-tblSalesTransactions[[#This Row],[Cost]]</f>
        <v>-72</v>
      </c>
    </row>
    <row r="147" spans="1:13">
      <c r="A147" t="s">
        <v>292</v>
      </c>
      <c r="B147" s="12">
        <v>46198</v>
      </c>
      <c r="C147" s="12"/>
      <c r="E147" t="s">
        <v>293</v>
      </c>
      <c r="F147" s="2"/>
      <c r="I147">
        <v>1</v>
      </c>
      <c r="J147" s="7">
        <v>120</v>
      </c>
      <c r="K147" s="7">
        <f>tblSalesTransactions[[#This Row],[Units]]*tblSalesTransactions[[#This Row],[UnitPrice]]</f>
        <v>120</v>
      </c>
      <c r="L147" s="7">
        <v>75.540000000000006</v>
      </c>
      <c r="M147" s="1">
        <f>tblSalesTransactions[[#This Row],[Revenue]]-tblSalesTransactions[[#This Row],[Cost]]</f>
        <v>44.459999999999994</v>
      </c>
    </row>
    <row r="148" spans="1:13">
      <c r="A148" t="s">
        <v>294</v>
      </c>
      <c r="B148" s="12">
        <v>46198</v>
      </c>
      <c r="C148" s="12"/>
      <c r="E148" t="s">
        <v>295</v>
      </c>
      <c r="F148" s="2"/>
      <c r="I148">
        <v>1</v>
      </c>
      <c r="J148" s="7">
        <v>200</v>
      </c>
      <c r="K148" s="7">
        <f>tblSalesTransactions[[#This Row],[Units]]*tblSalesTransactions[[#This Row],[UnitPrice]]</f>
        <v>200</v>
      </c>
      <c r="L148" s="7">
        <v>147</v>
      </c>
      <c r="M148" s="1">
        <f>tblSalesTransactions[[#This Row],[Revenue]]-tblSalesTransactions[[#This Row],[Cost]]</f>
        <v>53</v>
      </c>
    </row>
    <row r="149" spans="1:13">
      <c r="A149" t="s">
        <v>296</v>
      </c>
      <c r="B149" s="12">
        <v>46205</v>
      </c>
      <c r="C149" s="12"/>
      <c r="E149" t="s">
        <v>297</v>
      </c>
      <c r="F149" s="2"/>
      <c r="I149">
        <v>1</v>
      </c>
      <c r="J149" s="7">
        <v>235</v>
      </c>
      <c r="K149" s="7">
        <f>tblSalesTransactions[[#This Row],[Units]]*tblSalesTransactions[[#This Row],[UnitPrice]]</f>
        <v>235</v>
      </c>
      <c r="L149" s="7">
        <v>175.2</v>
      </c>
      <c r="M149" s="1">
        <f>tblSalesTransactions[[#This Row],[Revenue]]-tblSalesTransactions[[#This Row],[Cost]]</f>
        <v>59.800000000000011</v>
      </c>
    </row>
    <row r="150" spans="1:13">
      <c r="A150" t="s">
        <v>298</v>
      </c>
      <c r="B150" s="12">
        <v>46206</v>
      </c>
      <c r="C150" s="12"/>
      <c r="E150" t="s">
        <v>185</v>
      </c>
      <c r="F150" s="2"/>
      <c r="I150">
        <v>1</v>
      </c>
      <c r="J150" s="7">
        <v>150</v>
      </c>
      <c r="K150" s="7">
        <f>tblSalesTransactions[[#This Row],[Units]]*tblSalesTransactions[[#This Row],[UnitPrice]]</f>
        <v>150</v>
      </c>
      <c r="L150" s="7">
        <v>87</v>
      </c>
      <c r="M150" s="1">
        <f>tblSalesTransactions[[#This Row],[Revenue]]-tblSalesTransactions[[#This Row],[Cost]]</f>
        <v>63</v>
      </c>
    </row>
    <row r="151" spans="1:13">
      <c r="A151" t="s">
        <v>299</v>
      </c>
      <c r="B151" s="12">
        <v>46208</v>
      </c>
      <c r="C151" s="12"/>
      <c r="E151" t="s">
        <v>300</v>
      </c>
      <c r="F151" s="2"/>
      <c r="I151">
        <v>1</v>
      </c>
      <c r="J151" s="7">
        <v>150</v>
      </c>
      <c r="K151" s="7">
        <f>tblSalesTransactions[[#This Row],[Units]]*tblSalesTransactions[[#This Row],[UnitPrice]]</f>
        <v>150</v>
      </c>
      <c r="L151" s="7">
        <v>130</v>
      </c>
      <c r="M151" s="1">
        <f>tblSalesTransactions[[#This Row],[Revenue]]-tblSalesTransactions[[#This Row],[Cost]]</f>
        <v>20</v>
      </c>
    </row>
    <row r="152" spans="1:13">
      <c r="A152" t="s">
        <v>301</v>
      </c>
      <c r="B152" s="12">
        <v>46210</v>
      </c>
      <c r="C152" s="12"/>
      <c r="E152" t="s">
        <v>302</v>
      </c>
      <c r="F152" s="2"/>
      <c r="I152">
        <v>1</v>
      </c>
      <c r="J152" s="7">
        <v>130</v>
      </c>
      <c r="K152" s="7">
        <f>tblSalesTransactions[[#This Row],[Units]]*tblSalesTransactions[[#This Row],[UnitPrice]]</f>
        <v>130</v>
      </c>
      <c r="L152" s="7">
        <v>102</v>
      </c>
      <c r="M152" s="1">
        <f>tblSalesTransactions[[#This Row],[Revenue]]-tblSalesTransactions[[#This Row],[Cost]]</f>
        <v>28</v>
      </c>
    </row>
    <row r="153" spans="1:13">
      <c r="A153" t="s">
        <v>303</v>
      </c>
      <c r="B153" s="12">
        <v>46211</v>
      </c>
      <c r="C153" s="12"/>
      <c r="E153" t="s">
        <v>304</v>
      </c>
      <c r="F153" s="2"/>
      <c r="I153">
        <v>1</v>
      </c>
      <c r="J153" s="7">
        <v>235</v>
      </c>
      <c r="K153" s="7">
        <f>tblSalesTransactions[[#This Row],[Units]]*tblSalesTransactions[[#This Row],[UnitPrice]]</f>
        <v>235</v>
      </c>
      <c r="L153" s="7">
        <v>117.8</v>
      </c>
      <c r="M153" s="1">
        <f>tblSalesTransactions[[#This Row],[Revenue]]-tblSalesTransactions[[#This Row],[Cost]]</f>
        <v>117.2</v>
      </c>
    </row>
    <row r="154" spans="1:13">
      <c r="A154" t="s">
        <v>305</v>
      </c>
      <c r="B154" s="12">
        <v>46211</v>
      </c>
      <c r="C154" s="12"/>
      <c r="E154" t="s">
        <v>306</v>
      </c>
      <c r="F154" s="2"/>
      <c r="I154">
        <v>1</v>
      </c>
      <c r="J154" s="7">
        <v>70</v>
      </c>
      <c r="K154" s="7">
        <f>tblSalesTransactions[[#This Row],[Units]]*tblSalesTransactions[[#This Row],[UnitPrice]]</f>
        <v>70</v>
      </c>
      <c r="L154" s="7">
        <v>46.65</v>
      </c>
      <c r="M154" s="1">
        <f>tblSalesTransactions[[#This Row],[Revenue]]-tblSalesTransactions[[#This Row],[Cost]]</f>
        <v>23.35</v>
      </c>
    </row>
    <row r="155" spans="1:13">
      <c r="A155" t="s">
        <v>307</v>
      </c>
      <c r="B155" s="12">
        <v>46211</v>
      </c>
      <c r="C155" s="12"/>
      <c r="E155" t="s">
        <v>306</v>
      </c>
      <c r="F155" s="2"/>
      <c r="I155">
        <v>1</v>
      </c>
      <c r="J155" s="7">
        <v>30</v>
      </c>
      <c r="K155" s="7">
        <f>tblSalesTransactions[[#This Row],[Units]]*tblSalesTransactions[[#This Row],[UnitPrice]]</f>
        <v>30</v>
      </c>
      <c r="L155" s="7">
        <v>36.65</v>
      </c>
      <c r="M155" s="1">
        <f>tblSalesTransactions[[#This Row],[Revenue]]-tblSalesTransactions[[#This Row],[Cost]]</f>
        <v>-6.6499999999999986</v>
      </c>
    </row>
    <row r="156" spans="1:13">
      <c r="A156" t="s">
        <v>308</v>
      </c>
      <c r="B156" s="12">
        <v>46211</v>
      </c>
      <c r="C156" s="12"/>
      <c r="E156" t="s">
        <v>309</v>
      </c>
      <c r="F156" s="2"/>
      <c r="I156">
        <v>1</v>
      </c>
      <c r="J156" s="7">
        <v>250</v>
      </c>
      <c r="K156" s="7">
        <f>tblSalesTransactions[[#This Row],[Units]]*tblSalesTransactions[[#This Row],[UnitPrice]]</f>
        <v>250</v>
      </c>
      <c r="L156" s="7">
        <v>156.69999999999999</v>
      </c>
      <c r="M156" s="1">
        <f>tblSalesTransactions[[#This Row],[Revenue]]-tblSalesTransactions[[#This Row],[Cost]]</f>
        <v>93.300000000000011</v>
      </c>
    </row>
    <row r="157" spans="1:13">
      <c r="A157" t="s">
        <v>310</v>
      </c>
      <c r="B157" s="12">
        <v>46212</v>
      </c>
      <c r="C157" s="12"/>
      <c r="E157" t="s">
        <v>311</v>
      </c>
      <c r="F157" s="2"/>
      <c r="I157">
        <v>1</v>
      </c>
      <c r="J157" s="7">
        <v>30</v>
      </c>
      <c r="K157" s="7">
        <f>tblSalesTransactions[[#This Row],[Units]]*tblSalesTransactions[[#This Row],[UnitPrice]]</f>
        <v>30</v>
      </c>
      <c r="L157" s="7">
        <v>31.72</v>
      </c>
      <c r="M157" s="1">
        <f>tblSalesTransactions[[#This Row],[Revenue]]-tblSalesTransactions[[#This Row],[Cost]]</f>
        <v>-1.7199999999999989</v>
      </c>
    </row>
    <row r="158" spans="1:13">
      <c r="A158" t="s">
        <v>312</v>
      </c>
      <c r="B158" s="12">
        <v>46214</v>
      </c>
      <c r="C158" s="12"/>
      <c r="E158" t="s">
        <v>313</v>
      </c>
      <c r="F158" s="2"/>
      <c r="I158">
        <v>1</v>
      </c>
      <c r="J158" s="7">
        <v>240</v>
      </c>
      <c r="K158" s="7">
        <f>tblSalesTransactions[[#This Row],[Units]]*tblSalesTransactions[[#This Row],[UnitPrice]]</f>
        <v>240</v>
      </c>
      <c r="L158" s="7">
        <f>30+120.98</f>
        <v>150.98000000000002</v>
      </c>
      <c r="M158" s="1">
        <f>tblSalesTransactions[[#This Row],[Revenue]]-tblSalesTransactions[[#This Row],[Cost]]</f>
        <v>89.019999999999982</v>
      </c>
    </row>
    <row r="159" spans="1:13">
      <c r="A159" t="s">
        <v>314</v>
      </c>
      <c r="B159" s="12">
        <v>46211</v>
      </c>
      <c r="C159" s="12"/>
      <c r="E159" t="s">
        <v>315</v>
      </c>
      <c r="F159" s="2"/>
      <c r="I159">
        <v>1</v>
      </c>
      <c r="J159" s="7">
        <v>45</v>
      </c>
      <c r="K159" s="7">
        <f>tblSalesTransactions[[#This Row],[Units]]*tblSalesTransactions[[#This Row],[UnitPrice]]</f>
        <v>45</v>
      </c>
      <c r="L159" s="21">
        <f>60/2</f>
        <v>30</v>
      </c>
      <c r="M159" s="1">
        <f>tblSalesTransactions[[#This Row],[Revenue]]-tblSalesTransactions[[#This Row],[Cost]]</f>
        <v>15</v>
      </c>
    </row>
    <row r="160" spans="1:13">
      <c r="A160" t="s">
        <v>316</v>
      </c>
      <c r="B160" s="12">
        <v>46211</v>
      </c>
      <c r="C160" s="12"/>
      <c r="E160" t="s">
        <v>317</v>
      </c>
      <c r="F160" s="2"/>
      <c r="I160">
        <v>1</v>
      </c>
      <c r="J160" s="7">
        <v>80</v>
      </c>
      <c r="K160" s="7">
        <f>tblSalesTransactions[[#This Row],[Units]]*tblSalesTransactions[[#This Row],[UnitPrice]]</f>
        <v>80</v>
      </c>
      <c r="L160" s="21">
        <f>60/2</f>
        <v>30</v>
      </c>
      <c r="M160" s="1">
        <f>tblSalesTransactions[[#This Row],[Revenue]]-tblSalesTransactions[[#This Row],[Cost]]</f>
        <v>50</v>
      </c>
    </row>
    <row r="161" spans="1:13">
      <c r="A161" t="s">
        <v>318</v>
      </c>
      <c r="B161" s="12">
        <v>46218</v>
      </c>
      <c r="C161" s="12"/>
      <c r="E161" t="s">
        <v>319</v>
      </c>
      <c r="F161" s="2"/>
      <c r="I161">
        <v>1</v>
      </c>
      <c r="J161" s="7">
        <v>150</v>
      </c>
      <c r="K161" s="7">
        <f>tblSalesTransactions[[#This Row],[Units]]*tblSalesTransactions[[#This Row],[UnitPrice]]</f>
        <v>150</v>
      </c>
      <c r="L161" s="7">
        <v>68.83</v>
      </c>
      <c r="M161" s="1">
        <f>tblSalesTransactions[[#This Row],[Revenue]]-tblSalesTransactions[[#This Row],[Cost]]</f>
        <v>81.17</v>
      </c>
    </row>
    <row r="162" spans="1:13">
      <c r="A162" t="s">
        <v>320</v>
      </c>
      <c r="B162" s="12">
        <v>46221</v>
      </c>
      <c r="C162" s="12"/>
      <c r="E162" t="s">
        <v>321</v>
      </c>
      <c r="F162" s="2"/>
      <c r="I162">
        <v>1</v>
      </c>
      <c r="J162" s="7">
        <v>92.52</v>
      </c>
      <c r="K162" s="7">
        <f>tblSalesTransactions[[#This Row],[Units]]*tblSalesTransactions[[#This Row],[UnitPrice]]</f>
        <v>92.52</v>
      </c>
      <c r="L162" s="7">
        <v>92.52</v>
      </c>
      <c r="M162" s="1">
        <f>tblSalesTransactions[[#This Row],[Revenue]]-tblSalesTransactions[[#This Row],[Cost]]</f>
        <v>0</v>
      </c>
    </row>
    <row r="163" spans="1:13">
      <c r="A163" t="s">
        <v>322</v>
      </c>
      <c r="B163" s="12">
        <v>46222</v>
      </c>
      <c r="C163" s="12"/>
      <c r="E163" t="s">
        <v>323</v>
      </c>
      <c r="F163" s="2"/>
      <c r="I163">
        <v>1</v>
      </c>
      <c r="J163" s="7">
        <v>170</v>
      </c>
      <c r="K163" s="7">
        <f>tblSalesTransactions[[#This Row],[Units]]*tblSalesTransactions[[#This Row],[UnitPrice]]</f>
        <v>170</v>
      </c>
      <c r="L163" s="7">
        <v>92.44</v>
      </c>
      <c r="M163" s="1">
        <f>tblSalesTransactions[[#This Row],[Revenue]]-tblSalesTransactions[[#This Row],[Cost]]</f>
        <v>77.56</v>
      </c>
    </row>
    <row r="164" spans="1:13">
      <c r="A164" t="s">
        <v>324</v>
      </c>
      <c r="B164" s="12">
        <v>46223</v>
      </c>
      <c r="C164" s="12"/>
      <c r="E164" t="s">
        <v>325</v>
      </c>
      <c r="F164" s="2"/>
      <c r="I164">
        <v>1</v>
      </c>
      <c r="J164" s="7">
        <v>127.21</v>
      </c>
      <c r="K164" s="7">
        <f>tblSalesTransactions[[#This Row],[Units]]*tblSalesTransactions[[#This Row],[UnitPrice]]</f>
        <v>127.21</v>
      </c>
      <c r="L164" s="7">
        <v>75</v>
      </c>
      <c r="M164" s="1">
        <f>tblSalesTransactions[[#This Row],[Revenue]]-tblSalesTransactions[[#This Row],[Cost]]</f>
        <v>52.209999999999994</v>
      </c>
    </row>
    <row r="165" spans="1:13">
      <c r="A165" t="s">
        <v>326</v>
      </c>
      <c r="B165" s="12">
        <v>46224</v>
      </c>
      <c r="C165" s="12"/>
      <c r="E165" t="s">
        <v>327</v>
      </c>
      <c r="F165" s="2"/>
      <c r="I165">
        <v>1</v>
      </c>
      <c r="J165" s="7">
        <v>110</v>
      </c>
      <c r="K165" s="7">
        <f>tblSalesTransactions[[#This Row],[Units]]*tblSalesTransactions[[#This Row],[UnitPrice]]</f>
        <v>110</v>
      </c>
      <c r="L165" s="7">
        <v>66.989999999999995</v>
      </c>
      <c r="M165" s="1">
        <f>tblSalesTransactions[[#This Row],[Revenue]]-tblSalesTransactions[[#This Row],[Cost]]</f>
        <v>43.010000000000005</v>
      </c>
    </row>
    <row r="166" spans="1:13">
      <c r="A166" t="s">
        <v>328</v>
      </c>
      <c r="B166" s="12">
        <v>46225</v>
      </c>
      <c r="C166" s="12"/>
      <c r="E166" t="s">
        <v>329</v>
      </c>
      <c r="F166" s="2"/>
      <c r="I166">
        <v>1</v>
      </c>
      <c r="J166" s="7">
        <v>180</v>
      </c>
      <c r="K166" s="7">
        <f>tblSalesTransactions[[#This Row],[Units]]*tblSalesTransactions[[#This Row],[UnitPrice]]</f>
        <v>180</v>
      </c>
      <c r="L166" s="7">
        <v>40</v>
      </c>
      <c r="M166" s="1">
        <f>tblSalesTransactions[[#This Row],[Revenue]]-tblSalesTransactions[[#This Row],[Cost]]</f>
        <v>140</v>
      </c>
    </row>
    <row r="167" spans="1:13">
      <c r="A167" t="s">
        <v>330</v>
      </c>
      <c r="B167" s="12">
        <v>46225</v>
      </c>
      <c r="C167" s="12"/>
      <c r="E167" t="s">
        <v>331</v>
      </c>
      <c r="F167" s="2"/>
      <c r="I167">
        <v>1</v>
      </c>
      <c r="J167" s="7">
        <v>30</v>
      </c>
      <c r="K167" s="7">
        <f>tblSalesTransactions[[#This Row],[Units]]*tblSalesTransactions[[#This Row],[UnitPrice]]</f>
        <v>30</v>
      </c>
      <c r="L167" s="7">
        <v>30</v>
      </c>
      <c r="M167" s="1">
        <f>tblSalesTransactions[[#This Row],[Revenue]]-tblSalesTransactions[[#This Row],[Cost]]</f>
        <v>0</v>
      </c>
    </row>
    <row r="168" spans="1:13">
      <c r="A168" t="s">
        <v>332</v>
      </c>
      <c r="B168" s="12">
        <v>46225</v>
      </c>
      <c r="C168" s="12"/>
      <c r="E168" t="s">
        <v>333</v>
      </c>
      <c r="F168" s="2"/>
      <c r="I168">
        <v>1</v>
      </c>
      <c r="J168" s="7">
        <v>120</v>
      </c>
      <c r="K168" s="7">
        <f>tblSalesTransactions[[#This Row],[Units]]*tblSalesTransactions[[#This Row],[UnitPrice]]</f>
        <v>120</v>
      </c>
      <c r="L168" s="22">
        <f>92.52/2</f>
        <v>46.26</v>
      </c>
      <c r="M168" s="1">
        <f>tblSalesTransactions[[#This Row],[Revenue]]-tblSalesTransactions[[#This Row],[Cost]]</f>
        <v>73.740000000000009</v>
      </c>
    </row>
    <row r="169" spans="1:13">
      <c r="A169" t="s">
        <v>334</v>
      </c>
      <c r="B169" s="12">
        <v>46225</v>
      </c>
      <c r="C169" s="12"/>
      <c r="E169" t="s">
        <v>335</v>
      </c>
      <c r="F169" s="2"/>
      <c r="I169">
        <v>1</v>
      </c>
      <c r="J169" s="7">
        <v>30</v>
      </c>
      <c r="K169" s="7">
        <f>tblSalesTransactions[[#This Row],[Units]]*tblSalesTransactions[[#This Row],[UnitPrice]]</f>
        <v>30</v>
      </c>
      <c r="L169" s="22">
        <f>92.52/2</f>
        <v>46.26</v>
      </c>
      <c r="M169" s="1">
        <f>tblSalesTransactions[[#This Row],[Revenue]]-tblSalesTransactions[[#This Row],[Cost]]</f>
        <v>-16.259999999999998</v>
      </c>
    </row>
    <row r="170" spans="1:13">
      <c r="A170" t="s">
        <v>336</v>
      </c>
      <c r="B170" s="12">
        <v>46227</v>
      </c>
      <c r="C170" s="12"/>
      <c r="E170" t="s">
        <v>337</v>
      </c>
      <c r="F170" s="2"/>
      <c r="I170">
        <v>1</v>
      </c>
      <c r="J170" s="7">
        <v>70</v>
      </c>
      <c r="K170" s="7">
        <f>tblSalesTransactions[[#This Row],[Units]]*tblSalesTransactions[[#This Row],[UnitPrice]]</f>
        <v>70</v>
      </c>
      <c r="L170" s="7">
        <v>64.650000000000006</v>
      </c>
      <c r="M170" s="1">
        <f>tblSalesTransactions[[#This Row],[Revenue]]-tblSalesTransactions[[#This Row],[Cost]]</f>
        <v>5.3499999999999943</v>
      </c>
    </row>
    <row r="171" spans="1:13">
      <c r="A171" t="s">
        <v>338</v>
      </c>
      <c r="B171" s="12">
        <v>46228</v>
      </c>
      <c r="C171" s="12"/>
      <c r="E171" t="s">
        <v>339</v>
      </c>
      <c r="F171" s="2"/>
      <c r="I171">
        <v>1</v>
      </c>
      <c r="J171" s="7"/>
      <c r="K171" s="7">
        <f>tblSalesTransactions[[#This Row],[Units]]*tblSalesTransactions[[#This Row],[UnitPrice]]</f>
        <v>0</v>
      </c>
      <c r="L171" s="7">
        <v>76.92</v>
      </c>
      <c r="M171" s="1">
        <f>tblSalesTransactions[[#This Row],[Revenue]]-tblSalesTransactions[[#This Row],[Cost]]</f>
        <v>-76.92</v>
      </c>
    </row>
    <row r="172" spans="1:13">
      <c r="A172" t="s">
        <v>340</v>
      </c>
      <c r="B172" s="12">
        <v>46229</v>
      </c>
      <c r="C172" s="12"/>
      <c r="E172" t="s">
        <v>341</v>
      </c>
      <c r="F172" s="2"/>
      <c r="I172">
        <v>1</v>
      </c>
      <c r="J172" s="7">
        <v>143.56</v>
      </c>
      <c r="K172" s="7">
        <f>tblSalesTransactions[[#This Row],[Units]]*tblSalesTransactions[[#This Row],[UnitPrice]]</f>
        <v>143.56</v>
      </c>
      <c r="L172" s="7">
        <v>35.32</v>
      </c>
      <c r="M172" s="1">
        <f>tblSalesTransactions[[#This Row],[Revenue]]-tblSalesTransactions[[#This Row],[Cost]]</f>
        <v>108.24000000000001</v>
      </c>
    </row>
    <row r="173" spans="1:13">
      <c r="A173" t="s">
        <v>342</v>
      </c>
      <c r="B173" s="12">
        <v>46229</v>
      </c>
      <c r="C173" s="12"/>
      <c r="E173" t="s">
        <v>343</v>
      </c>
      <c r="F173" s="2"/>
      <c r="I173">
        <v>1</v>
      </c>
      <c r="J173" s="7">
        <v>150</v>
      </c>
      <c r="K173" s="7">
        <f>tblSalesTransactions[[#This Row],[Units]]*tblSalesTransactions[[#This Row],[UnitPrice]]</f>
        <v>150</v>
      </c>
      <c r="L173" s="7">
        <v>93.5</v>
      </c>
      <c r="M173" s="1">
        <f>tblSalesTransactions[[#This Row],[Revenue]]-tblSalesTransactions[[#This Row],[Cost]]</f>
        <v>56.5</v>
      </c>
    </row>
    <row r="174" spans="1:13">
      <c r="A174" t="s">
        <v>344</v>
      </c>
      <c r="B174" s="12">
        <v>46229</v>
      </c>
      <c r="C174" s="12"/>
      <c r="E174" t="s">
        <v>345</v>
      </c>
      <c r="F174" s="2"/>
      <c r="I174">
        <v>1</v>
      </c>
      <c r="J174" s="7">
        <v>150</v>
      </c>
      <c r="K174" s="7">
        <f>tblSalesTransactions[[#This Row],[Units]]*tblSalesTransactions[[#This Row],[UnitPrice]]</f>
        <v>150</v>
      </c>
      <c r="L174" s="7">
        <v>139.77000000000001</v>
      </c>
      <c r="M174" s="1">
        <f>tblSalesTransactions[[#This Row],[Revenue]]-tblSalesTransactions[[#This Row],[Cost]]</f>
        <v>10.22999999999999</v>
      </c>
    </row>
    <row r="175" spans="1:13">
      <c r="A175" t="s">
        <v>346</v>
      </c>
      <c r="B175" s="12">
        <v>46229</v>
      </c>
      <c r="C175" s="12"/>
      <c r="E175" t="s">
        <v>347</v>
      </c>
      <c r="F175" s="2"/>
      <c r="I175">
        <v>1</v>
      </c>
      <c r="J175" s="17">
        <v>160</v>
      </c>
      <c r="K175" s="7">
        <f>tblSalesTransactions[[#This Row],[Units]]*tblSalesTransactions[[#This Row],[UnitPrice]]</f>
        <v>160</v>
      </c>
      <c r="L175" s="7">
        <v>49.49</v>
      </c>
      <c r="M175" s="1">
        <f>tblSalesTransactions[[#This Row],[Revenue]]-tblSalesTransactions[[#This Row],[Cost]]</f>
        <v>110.50999999999999</v>
      </c>
    </row>
    <row r="176" spans="1:13">
      <c r="A176" t="s">
        <v>348</v>
      </c>
      <c r="B176" s="12">
        <v>46229</v>
      </c>
      <c r="C176" s="12"/>
      <c r="E176" t="s">
        <v>349</v>
      </c>
      <c r="F176" s="2"/>
      <c r="I176">
        <v>1</v>
      </c>
      <c r="J176" s="14">
        <v>120</v>
      </c>
      <c r="K176" s="7">
        <f>tblSalesTransactions[[#This Row],[Units]]*tblSalesTransactions[[#This Row],[UnitPrice]]</f>
        <v>120</v>
      </c>
      <c r="L176" s="14">
        <v>55.21</v>
      </c>
      <c r="M176" s="1">
        <f>tblSalesTransactions[[#This Row],[Revenue]]-tblSalesTransactions[[#This Row],[Cost]]</f>
        <v>64.789999999999992</v>
      </c>
    </row>
    <row r="177" spans="1:13">
      <c r="A177" t="s">
        <v>350</v>
      </c>
      <c r="B177" s="12">
        <v>46230</v>
      </c>
      <c r="C177" s="12"/>
      <c r="E177" t="s">
        <v>254</v>
      </c>
      <c r="F177" s="2"/>
      <c r="I177">
        <v>1</v>
      </c>
      <c r="J177" s="7">
        <v>160</v>
      </c>
      <c r="K177" s="7">
        <f>tblSalesTransactions[[#This Row],[Units]]*tblSalesTransactions[[#This Row],[UnitPrice]]</f>
        <v>160</v>
      </c>
      <c r="L177" s="7">
        <v>125</v>
      </c>
      <c r="M177" s="1">
        <f>tblSalesTransactions[[#This Row],[Revenue]]-tblSalesTransactions[[#This Row],[Cost]]</f>
        <v>35</v>
      </c>
    </row>
    <row r="178" spans="1:13">
      <c r="A178" t="s">
        <v>351</v>
      </c>
      <c r="B178" s="12">
        <v>46231</v>
      </c>
      <c r="C178" s="12"/>
      <c r="E178" t="s">
        <v>352</v>
      </c>
      <c r="F178" s="2"/>
      <c r="I178">
        <v>1</v>
      </c>
      <c r="J178" s="7"/>
      <c r="K178" s="7">
        <f>tblSalesTransactions[[#This Row],[Units]]*tblSalesTransactions[[#This Row],[UnitPrice]]</f>
        <v>0</v>
      </c>
      <c r="L178" s="7">
        <v>65.989999999999995</v>
      </c>
      <c r="M178" s="1">
        <f>tblSalesTransactions[[#This Row],[Revenue]]-tblSalesTransactions[[#This Row],[Cost]]</f>
        <v>-65.989999999999995</v>
      </c>
    </row>
    <row r="179" spans="1:13">
      <c r="A179" t="s">
        <v>353</v>
      </c>
      <c r="B179" s="12">
        <v>46231</v>
      </c>
      <c r="C179" s="12"/>
      <c r="E179" t="s">
        <v>354</v>
      </c>
      <c r="F179" s="2"/>
      <c r="I179">
        <v>1</v>
      </c>
      <c r="J179" s="7"/>
      <c r="K179" s="7">
        <f>tblSalesTransactions[[#This Row],[Units]]*tblSalesTransactions[[#This Row],[UnitPrice]]</f>
        <v>0</v>
      </c>
      <c r="L179" s="7">
        <v>43.55</v>
      </c>
      <c r="M179" s="1">
        <f>tblSalesTransactions[[#This Row],[Revenue]]-tblSalesTransactions[[#This Row],[Cost]]</f>
        <v>-43.55</v>
      </c>
    </row>
    <row r="180" spans="1:13">
      <c r="A180" t="s">
        <v>355</v>
      </c>
      <c r="B180" s="12">
        <v>46233</v>
      </c>
      <c r="C180" s="12"/>
      <c r="E180" t="s">
        <v>356</v>
      </c>
      <c r="F180" s="2"/>
      <c r="I180">
        <v>1</v>
      </c>
      <c r="J180" s="7">
        <v>210</v>
      </c>
      <c r="K180" s="7">
        <f>tblSalesTransactions[[#This Row],[Units]]*tblSalesTransactions[[#This Row],[UnitPrice]]</f>
        <v>210</v>
      </c>
      <c r="L180" s="7">
        <f>10+173.7</f>
        <v>183.7</v>
      </c>
      <c r="M180" s="1">
        <f>tblSalesTransactions[[#This Row],[Revenue]]-tblSalesTransactions[[#This Row],[Cost]]</f>
        <v>26.300000000000011</v>
      </c>
    </row>
    <row r="181" spans="1:13">
      <c r="A181" t="s">
        <v>357</v>
      </c>
      <c r="B181" s="12">
        <v>46234</v>
      </c>
      <c r="C181" s="12"/>
      <c r="E181" t="s">
        <v>358</v>
      </c>
      <c r="F181" s="2"/>
      <c r="I181">
        <v>1</v>
      </c>
      <c r="J181" s="7">
        <f>80.75+78+125</f>
        <v>283.75</v>
      </c>
      <c r="K181" s="7">
        <f>tblSalesTransactions[[#This Row],[Units]]*tblSalesTransactions[[#This Row],[UnitPrice]]</f>
        <v>283.75</v>
      </c>
      <c r="L181" s="7">
        <v>150</v>
      </c>
      <c r="M181" s="1">
        <f>tblSalesTransactions[[#This Row],[Revenue]]-tblSalesTransactions[[#This Row],[Cost]]</f>
        <v>133.75</v>
      </c>
    </row>
    <row r="182" spans="1:13">
      <c r="A182" t="s">
        <v>359</v>
      </c>
      <c r="B182" s="12">
        <v>46235</v>
      </c>
      <c r="C182" s="12"/>
      <c r="E182" t="s">
        <v>360</v>
      </c>
      <c r="F182" s="2"/>
      <c r="I182">
        <v>1</v>
      </c>
      <c r="J182" s="7">
        <v>105.1</v>
      </c>
      <c r="K182" s="7">
        <f>tblSalesTransactions[[#This Row],[Units]]*tblSalesTransactions[[#This Row],[UnitPrice]]</f>
        <v>105.1</v>
      </c>
      <c r="L182" s="7">
        <v>10</v>
      </c>
      <c r="M182" s="1">
        <f>tblSalesTransactions[[#This Row],[Revenue]]-tblSalesTransactions[[#This Row],[Cost]]</f>
        <v>95.1</v>
      </c>
    </row>
    <row r="183" spans="1:13">
      <c r="A183" t="s">
        <v>361</v>
      </c>
      <c r="B183" s="12">
        <v>46236</v>
      </c>
      <c r="C183" s="12"/>
      <c r="E183" t="s">
        <v>362</v>
      </c>
      <c r="F183" s="2"/>
      <c r="I183">
        <v>1</v>
      </c>
      <c r="J183" s="7">
        <v>120</v>
      </c>
      <c r="K183" s="7">
        <f>tblSalesTransactions[[#This Row],[Units]]*tblSalesTransactions[[#This Row],[UnitPrice]]</f>
        <v>120</v>
      </c>
      <c r="L183" s="7">
        <v>80</v>
      </c>
      <c r="M183" s="1">
        <f>tblSalesTransactions[[#This Row],[Revenue]]-tblSalesTransactions[[#This Row],[Cost]]</f>
        <v>40</v>
      </c>
    </row>
    <row r="184" spans="1:13">
      <c r="A184" t="s">
        <v>363</v>
      </c>
      <c r="B184" s="12">
        <v>46237</v>
      </c>
      <c r="C184" s="12"/>
      <c r="E184" t="s">
        <v>364</v>
      </c>
      <c r="F184" s="2"/>
      <c r="I184">
        <v>1</v>
      </c>
      <c r="J184" s="7"/>
      <c r="K184" s="7">
        <f>tblSalesTransactions[[#This Row],[Units]]*tblSalesTransactions[[#This Row],[UnitPrice]]</f>
        <v>0</v>
      </c>
      <c r="L184" s="7">
        <v>35.21</v>
      </c>
      <c r="M184" s="1">
        <f>tblSalesTransactions[[#This Row],[Revenue]]-tblSalesTransactions[[#This Row],[Cost]]</f>
        <v>-35.21</v>
      </c>
    </row>
    <row r="185" spans="1:13">
      <c r="A185" t="s">
        <v>365</v>
      </c>
      <c r="B185" s="12">
        <v>46237</v>
      </c>
      <c r="C185" s="12"/>
      <c r="E185" t="s">
        <v>366</v>
      </c>
      <c r="F185" s="2"/>
      <c r="I185">
        <v>1</v>
      </c>
      <c r="J185" s="7">
        <v>160</v>
      </c>
      <c r="K185" s="7">
        <f>tblSalesTransactions[[#This Row],[Units]]*tblSalesTransactions[[#This Row],[UnitPrice]]</f>
        <v>160</v>
      </c>
      <c r="L185" s="7">
        <v>108.29</v>
      </c>
      <c r="M185" s="1">
        <f>tblSalesTransactions[[#This Row],[Revenue]]-tblSalesTransactions[[#This Row],[Cost]]</f>
        <v>51.709999999999994</v>
      </c>
    </row>
    <row r="186" spans="1:13">
      <c r="A186" t="s">
        <v>367</v>
      </c>
      <c r="B186" s="12">
        <v>46237</v>
      </c>
      <c r="C186" s="12"/>
      <c r="E186" t="s">
        <v>368</v>
      </c>
      <c r="F186" s="2"/>
      <c r="I186">
        <v>1</v>
      </c>
      <c r="J186" s="7">
        <v>220.48</v>
      </c>
      <c r="K186" s="7">
        <f>tblSalesTransactions[[#This Row],[Units]]*tblSalesTransactions[[#This Row],[UnitPrice]]</f>
        <v>220.48</v>
      </c>
      <c r="L186" s="7">
        <v>118.79</v>
      </c>
      <c r="M186" s="1">
        <f>tblSalesTransactions[[#This Row],[Revenue]]-tblSalesTransactions[[#This Row],[Cost]]</f>
        <v>101.68999999999998</v>
      </c>
    </row>
    <row r="187" spans="1:13">
      <c r="A187" t="s">
        <v>369</v>
      </c>
      <c r="B187" s="12">
        <v>46237</v>
      </c>
      <c r="C187" s="12"/>
      <c r="E187" t="s">
        <v>370</v>
      </c>
      <c r="F187" s="2"/>
      <c r="I187">
        <v>1</v>
      </c>
      <c r="J187" s="7">
        <v>100.29</v>
      </c>
      <c r="K187" s="7">
        <f>tblSalesTransactions[[#This Row],[Units]]*tblSalesTransactions[[#This Row],[UnitPrice]]</f>
        <v>100.29</v>
      </c>
      <c r="L187" s="7">
        <v>40.520000000000003</v>
      </c>
      <c r="M187" s="1">
        <f>tblSalesTransactions[[#This Row],[Revenue]]-tblSalesTransactions[[#This Row],[Cost]]</f>
        <v>59.77</v>
      </c>
    </row>
    <row r="188" spans="1:13">
      <c r="A188" t="s">
        <v>371</v>
      </c>
      <c r="B188" s="12">
        <v>46237</v>
      </c>
      <c r="C188" s="12"/>
      <c r="E188" t="s">
        <v>372</v>
      </c>
      <c r="F188" s="2"/>
      <c r="I188">
        <v>1</v>
      </c>
      <c r="J188" s="7">
        <v>130</v>
      </c>
      <c r="K188" s="7">
        <f>tblSalesTransactions[[#This Row],[Units]]*tblSalesTransactions[[#This Row],[UnitPrice]]</f>
        <v>130</v>
      </c>
      <c r="L188" s="7">
        <v>117.27</v>
      </c>
      <c r="M188" s="1">
        <f>tblSalesTransactions[[#This Row],[Revenue]]-tblSalesTransactions[[#This Row],[Cost]]</f>
        <v>12.730000000000004</v>
      </c>
    </row>
    <row r="189" spans="1:13">
      <c r="A189" t="s">
        <v>373</v>
      </c>
      <c r="B189" s="12">
        <v>46238</v>
      </c>
      <c r="C189" s="12"/>
      <c r="E189" t="s">
        <v>374</v>
      </c>
      <c r="F189" s="2"/>
      <c r="I189">
        <v>1</v>
      </c>
      <c r="J189" s="7"/>
      <c r="K189" s="7">
        <f>tblSalesTransactions[[#This Row],[Units]]*tblSalesTransactions[[#This Row],[UnitPrice]]</f>
        <v>0</v>
      </c>
      <c r="L189" s="7">
        <v>52.44</v>
      </c>
      <c r="M189" s="1">
        <f>tblSalesTransactions[[#This Row],[Revenue]]-tblSalesTransactions[[#This Row],[Cost]]</f>
        <v>-52.44</v>
      </c>
    </row>
    <row r="190" spans="1:13">
      <c r="A190" t="s">
        <v>375</v>
      </c>
      <c r="B190" s="12">
        <v>46238</v>
      </c>
      <c r="C190" s="12"/>
      <c r="E190" t="s">
        <v>376</v>
      </c>
      <c r="F190" s="2"/>
      <c r="I190">
        <v>1</v>
      </c>
      <c r="J190" s="7">
        <v>160</v>
      </c>
      <c r="K190" s="7">
        <f>tblSalesTransactions[[#This Row],[Units]]*tblSalesTransactions[[#This Row],[UnitPrice]]</f>
        <v>160</v>
      </c>
      <c r="L190" s="7">
        <v>115</v>
      </c>
      <c r="M190" s="1">
        <f>tblSalesTransactions[[#This Row],[Revenue]]-tblSalesTransactions[[#This Row],[Cost]]</f>
        <v>45</v>
      </c>
    </row>
    <row r="191" spans="1:13">
      <c r="A191" t="s">
        <v>377</v>
      </c>
      <c r="B191" s="12">
        <v>46238</v>
      </c>
      <c r="C191" s="12"/>
      <c r="E191" t="s">
        <v>378</v>
      </c>
      <c r="F191" s="2"/>
      <c r="I191">
        <v>1</v>
      </c>
      <c r="J191" s="7">
        <v>210.87</v>
      </c>
      <c r="K191" s="7">
        <f>tblSalesTransactions[[#This Row],[Units]]*tblSalesTransactions[[#This Row],[UnitPrice]]</f>
        <v>210.87</v>
      </c>
      <c r="L191" s="7">
        <v>145</v>
      </c>
      <c r="M191" s="1">
        <f>tblSalesTransactions[[#This Row],[Revenue]]-tblSalesTransactions[[#This Row],[Cost]]</f>
        <v>65.87</v>
      </c>
    </row>
    <row r="192" spans="1:13">
      <c r="A192" t="s">
        <v>379</v>
      </c>
      <c r="B192" s="12">
        <v>46238</v>
      </c>
      <c r="C192" s="12"/>
      <c r="E192" t="s">
        <v>380</v>
      </c>
      <c r="F192" s="2"/>
      <c r="I192">
        <v>1</v>
      </c>
      <c r="J192" s="7">
        <v>230.1</v>
      </c>
      <c r="K192" s="7">
        <f>tblSalesTransactions[[#This Row],[Units]]*tblSalesTransactions[[#This Row],[UnitPrice]]</f>
        <v>230.1</v>
      </c>
      <c r="L192" s="7">
        <v>141.78</v>
      </c>
      <c r="M192" s="1">
        <f>tblSalesTransactions[[#This Row],[Revenue]]-tblSalesTransactions[[#This Row],[Cost]]</f>
        <v>88.32</v>
      </c>
    </row>
    <row r="193" spans="1:13">
      <c r="A193" t="s">
        <v>381</v>
      </c>
      <c r="B193" s="12">
        <v>46240</v>
      </c>
      <c r="C193" s="12"/>
      <c r="E193" t="s">
        <v>382</v>
      </c>
      <c r="F193" s="2"/>
      <c r="I193">
        <v>1</v>
      </c>
      <c r="J193" s="7">
        <v>110</v>
      </c>
      <c r="K193" s="7">
        <f>tblSalesTransactions[[#This Row],[Units]]*tblSalesTransactions[[#This Row],[UnitPrice]]</f>
        <v>110</v>
      </c>
      <c r="L193" s="7">
        <v>75.540000000000006</v>
      </c>
      <c r="M193" s="1">
        <f>tblSalesTransactions[[#This Row],[Revenue]]-tblSalesTransactions[[#This Row],[Cost]]</f>
        <v>34.459999999999994</v>
      </c>
    </row>
    <row r="194" spans="1:13">
      <c r="A194" t="s">
        <v>383</v>
      </c>
      <c r="B194" s="12">
        <v>46243</v>
      </c>
      <c r="C194" s="12"/>
      <c r="E194" t="s">
        <v>384</v>
      </c>
      <c r="F194" s="2"/>
      <c r="I194">
        <v>1</v>
      </c>
      <c r="J194" s="7">
        <v>135</v>
      </c>
      <c r="K194" s="7">
        <f>tblSalesTransactions[[#This Row],[Units]]*tblSalesTransactions[[#This Row],[UnitPrice]]</f>
        <v>135</v>
      </c>
      <c r="L194" s="7">
        <v>80.209999999999994</v>
      </c>
      <c r="M194" s="1">
        <f>tblSalesTransactions[[#This Row],[Revenue]]-tblSalesTransactions[[#This Row],[Cost]]</f>
        <v>54.790000000000006</v>
      </c>
    </row>
    <row r="195" spans="1:13">
      <c r="A195" t="s">
        <v>385</v>
      </c>
      <c r="B195" s="12">
        <v>46244</v>
      </c>
      <c r="C195" s="12"/>
      <c r="E195" t="s">
        <v>386</v>
      </c>
      <c r="F195" s="2"/>
      <c r="I195">
        <v>1</v>
      </c>
      <c r="J195" s="7">
        <v>120</v>
      </c>
      <c r="K195" s="7">
        <f>tblSalesTransactions[[#This Row],[Units]]*tblSalesTransactions[[#This Row],[UnitPrice]]</f>
        <v>120</v>
      </c>
      <c r="L195" s="7">
        <v>79</v>
      </c>
      <c r="M195" s="1">
        <f>tblSalesTransactions[[#This Row],[Revenue]]-tblSalesTransactions[[#This Row],[Cost]]</f>
        <v>41</v>
      </c>
    </row>
    <row r="196" spans="1:13">
      <c r="A196" t="s">
        <v>387</v>
      </c>
      <c r="B196" s="12">
        <v>46242</v>
      </c>
      <c r="C196" s="12"/>
      <c r="E196" t="s">
        <v>388</v>
      </c>
      <c r="F196" s="2"/>
      <c r="I196">
        <v>1</v>
      </c>
      <c r="J196" s="7">
        <v>100</v>
      </c>
      <c r="K196" s="7">
        <f>tblSalesTransactions[[#This Row],[Units]]*tblSalesTransactions[[#This Row],[UnitPrice]]</f>
        <v>100</v>
      </c>
      <c r="L196" s="7">
        <v>60</v>
      </c>
      <c r="M196" s="1">
        <f>tblSalesTransactions[[#This Row],[Revenue]]-tblSalesTransactions[[#This Row],[Cost]]</f>
        <v>40</v>
      </c>
    </row>
    <row r="197" spans="1:13">
      <c r="A197" t="s">
        <v>389</v>
      </c>
      <c r="B197" s="12">
        <v>46244</v>
      </c>
      <c r="C197" s="12"/>
      <c r="E197" t="s">
        <v>390</v>
      </c>
      <c r="F197" s="2"/>
      <c r="I197">
        <v>1</v>
      </c>
      <c r="J197" s="7"/>
      <c r="K197" s="7">
        <f>tblSalesTransactions[[#This Row],[Units]]*tblSalesTransactions[[#This Row],[UnitPrice]]</f>
        <v>0</v>
      </c>
      <c r="L197" s="7">
        <v>50</v>
      </c>
      <c r="M197" s="1">
        <f>tblSalesTransactions[[#This Row],[Revenue]]-tblSalesTransactions[[#This Row],[Cost]]</f>
        <v>-50</v>
      </c>
    </row>
    <row r="198" spans="1:13">
      <c r="A198" t="s">
        <v>391</v>
      </c>
      <c r="B198" s="12">
        <v>46246</v>
      </c>
      <c r="C198" s="12"/>
      <c r="E198" t="s">
        <v>392</v>
      </c>
      <c r="F198" s="2"/>
      <c r="I198">
        <v>1</v>
      </c>
      <c r="J198" s="7"/>
      <c r="K198" s="7">
        <f>tblSalesTransactions[[#This Row],[Units]]*tblSalesTransactions[[#This Row],[UnitPrice]]</f>
        <v>0</v>
      </c>
      <c r="L198" s="7">
        <v>70</v>
      </c>
      <c r="M198" s="1">
        <f>tblSalesTransactions[[#This Row],[Revenue]]-tblSalesTransactions[[#This Row],[Cost]]</f>
        <v>-70</v>
      </c>
    </row>
    <row r="199" spans="1:13">
      <c r="A199" t="s">
        <v>393</v>
      </c>
      <c r="B199" s="12">
        <v>46247</v>
      </c>
      <c r="C199" s="12"/>
      <c r="E199" t="s">
        <v>394</v>
      </c>
      <c r="F199" s="2"/>
      <c r="I199">
        <v>1</v>
      </c>
      <c r="J199" s="7"/>
      <c r="K199" s="7">
        <f>tblSalesTransactions[[#This Row],[Units]]*tblSalesTransactions[[#This Row],[UnitPrice]]</f>
        <v>0</v>
      </c>
      <c r="L199" s="7">
        <v>68</v>
      </c>
      <c r="M199" s="1">
        <f>tblSalesTransactions[[#This Row],[Revenue]]-tblSalesTransactions[[#This Row],[Cost]]</f>
        <v>-68</v>
      </c>
    </row>
    <row r="200" spans="1:13">
      <c r="A200" t="s">
        <v>395</v>
      </c>
      <c r="B200" s="12">
        <v>46249</v>
      </c>
      <c r="C200" s="12"/>
      <c r="E200" t="s">
        <v>396</v>
      </c>
      <c r="F200" s="2"/>
      <c r="I200">
        <v>1</v>
      </c>
      <c r="J200" s="7"/>
      <c r="K200" s="7">
        <f>tblSalesTransactions[[#This Row],[Units]]*tblSalesTransactions[[#This Row],[UnitPrice]]</f>
        <v>0</v>
      </c>
      <c r="L200" s="7">
        <v>51.65</v>
      </c>
      <c r="M200" s="1">
        <f>tblSalesTransactions[[#This Row],[Revenue]]-tblSalesTransactions[[#This Row],[Cost]]</f>
        <v>-51.65</v>
      </c>
    </row>
    <row r="201" spans="1:13">
      <c r="A201" t="s">
        <v>397</v>
      </c>
      <c r="B201" s="12">
        <v>46249</v>
      </c>
      <c r="C201" s="12"/>
      <c r="E201" t="s">
        <v>398</v>
      </c>
      <c r="F201" s="2"/>
      <c r="I201">
        <v>1</v>
      </c>
      <c r="J201" s="7"/>
      <c r="K201" s="7">
        <f>tblSalesTransactions[[#This Row],[Units]]*tblSalesTransactions[[#This Row],[UnitPrice]]</f>
        <v>0</v>
      </c>
      <c r="L201" s="7">
        <v>80</v>
      </c>
      <c r="M201" s="1">
        <f>tblSalesTransactions[[#This Row],[Revenue]]-tblSalesTransactions[[#This Row],[Cost]]</f>
        <v>-80</v>
      </c>
    </row>
    <row r="202" spans="1:13">
      <c r="A202" t="s">
        <v>399</v>
      </c>
      <c r="B202" s="12">
        <v>46250</v>
      </c>
      <c r="C202" s="12"/>
      <c r="E202" t="s">
        <v>43</v>
      </c>
      <c r="F202" s="2"/>
      <c r="I202">
        <v>1</v>
      </c>
      <c r="J202" s="7"/>
      <c r="K202" s="7">
        <f>tblSalesTransactions[[#This Row],[Units]]*tblSalesTransactions[[#This Row],[UnitPrice]]</f>
        <v>0</v>
      </c>
      <c r="L202" s="7">
        <v>76</v>
      </c>
      <c r="M202" s="1">
        <f>tblSalesTransactions[[#This Row],[Revenue]]-tblSalesTransactions[[#This Row],[Cost]]</f>
        <v>-76</v>
      </c>
    </row>
    <row r="203" spans="1:13">
      <c r="A203" t="s">
        <v>400</v>
      </c>
      <c r="B203" s="12">
        <v>46250</v>
      </c>
      <c r="C203" s="12"/>
      <c r="E203" t="s">
        <v>401</v>
      </c>
      <c r="F203" s="2"/>
      <c r="I203">
        <v>1</v>
      </c>
      <c r="J203" s="7"/>
      <c r="K203" s="7">
        <f>tblSalesTransactions[[#This Row],[Units]]*tblSalesTransactions[[#This Row],[UnitPrice]]</f>
        <v>0</v>
      </c>
      <c r="L203" s="7">
        <v>115.5</v>
      </c>
      <c r="M203" s="1">
        <f>tblSalesTransactions[[#This Row],[Revenue]]-tblSalesTransactions[[#This Row],[Cost]]</f>
        <v>-115.5</v>
      </c>
    </row>
    <row r="204" spans="1:13">
      <c r="A204" t="s">
        <v>402</v>
      </c>
      <c r="B204" s="12">
        <v>46250</v>
      </c>
      <c r="C204" s="12"/>
      <c r="E204" t="s">
        <v>403</v>
      </c>
      <c r="F204" s="2"/>
      <c r="I204">
        <v>1</v>
      </c>
      <c r="J204" s="7"/>
      <c r="K204" s="7">
        <f>tblSalesTransactions[[#This Row],[Units]]*tblSalesTransactions[[#This Row],[UnitPrice]]</f>
        <v>0</v>
      </c>
      <c r="L204" s="7">
        <v>70</v>
      </c>
      <c r="M204" s="1">
        <f>tblSalesTransactions[[#This Row],[Revenue]]-tblSalesTransactions[[#This Row],[Cost]]</f>
        <v>-70</v>
      </c>
    </row>
    <row r="205" spans="1:13">
      <c r="A205" t="s">
        <v>404</v>
      </c>
      <c r="B205" s="12">
        <v>46249</v>
      </c>
      <c r="C205" s="12"/>
      <c r="E205" t="s">
        <v>405</v>
      </c>
      <c r="F205" s="2"/>
      <c r="I205">
        <v>1</v>
      </c>
      <c r="J205" s="7">
        <v>30</v>
      </c>
      <c r="K205" s="7">
        <f>tblSalesTransactions[[#This Row],[Units]]*tblSalesTransactions[[#This Row],[UnitPrice]]</f>
        <v>30</v>
      </c>
      <c r="L205" s="7">
        <v>20</v>
      </c>
      <c r="M205" s="1">
        <f>tblSalesTransactions[[#This Row],[Revenue]]-tblSalesTransactions[[#This Row],[Cost]]</f>
        <v>10</v>
      </c>
    </row>
    <row r="206" spans="1:13">
      <c r="A206" t="s">
        <v>406</v>
      </c>
      <c r="B206" s="12">
        <v>46254</v>
      </c>
      <c r="C206" s="12"/>
      <c r="E206" t="s">
        <v>407</v>
      </c>
      <c r="F206" s="2"/>
      <c r="I206">
        <v>1</v>
      </c>
      <c r="J206" s="7">
        <f>150+160</f>
        <v>310</v>
      </c>
      <c r="K206" s="7">
        <f>tblSalesTransactions[[#This Row],[Units]]*tblSalesTransactions[[#This Row],[UnitPrice]]</f>
        <v>310</v>
      </c>
      <c r="L206" s="7">
        <v>125</v>
      </c>
      <c r="M206" s="1">
        <f>tblSalesTransactions[[#This Row],[Revenue]]-tblSalesTransactions[[#This Row],[Cost]]</f>
        <v>185</v>
      </c>
    </row>
    <row r="207" spans="1:13">
      <c r="A207" t="s">
        <v>408</v>
      </c>
      <c r="B207" s="12">
        <v>46255</v>
      </c>
      <c r="C207" s="12"/>
      <c r="E207" t="s">
        <v>409</v>
      </c>
      <c r="F207" s="2"/>
      <c r="I207">
        <v>1</v>
      </c>
      <c r="J207" s="7"/>
      <c r="K207" s="7">
        <f>tblSalesTransactions[[#This Row],[Units]]*tblSalesTransactions[[#This Row],[UnitPrice]]</f>
        <v>0</v>
      </c>
      <c r="L207" s="7">
        <v>66.08</v>
      </c>
      <c r="M207" s="1">
        <f>tblSalesTransactions[[#This Row],[Revenue]]-tblSalesTransactions[[#This Row],[Cost]]</f>
        <v>-66.08</v>
      </c>
    </row>
    <row r="208" spans="1:13">
      <c r="A208" t="s">
        <v>410</v>
      </c>
      <c r="B208" s="12">
        <v>46256</v>
      </c>
      <c r="C208" s="12"/>
      <c r="E208" t="s">
        <v>411</v>
      </c>
      <c r="F208" s="2"/>
      <c r="I208">
        <v>1</v>
      </c>
      <c r="J208" s="7"/>
      <c r="K208" s="7">
        <f>tblSalesTransactions[[#This Row],[Units]]*tblSalesTransactions[[#This Row],[UnitPrice]]</f>
        <v>0</v>
      </c>
      <c r="L208" s="7">
        <f>19.99+76.73</f>
        <v>96.72</v>
      </c>
      <c r="M208" s="1">
        <f>tblSalesTransactions[[#This Row],[Revenue]]-tblSalesTransactions[[#This Row],[Cost]]</f>
        <v>-96.72</v>
      </c>
    </row>
    <row r="209" spans="1:13">
      <c r="A209" t="s">
        <v>412</v>
      </c>
      <c r="B209" s="12">
        <v>46256</v>
      </c>
      <c r="C209" s="12"/>
      <c r="E209" t="s">
        <v>413</v>
      </c>
      <c r="F209" s="2"/>
      <c r="I209">
        <v>1</v>
      </c>
      <c r="J209" s="7"/>
      <c r="K209" s="7">
        <f>tblSalesTransactions[[#This Row],[Units]]*tblSalesTransactions[[#This Row],[UnitPrice]]</f>
        <v>0</v>
      </c>
      <c r="L209" s="7">
        <v>62.44</v>
      </c>
      <c r="M209" s="1">
        <f>tblSalesTransactions[[#This Row],[Revenue]]-tblSalesTransactions[[#This Row],[Cost]]</f>
        <v>-62.44</v>
      </c>
    </row>
    <row r="210" spans="1:13">
      <c r="A210" t="s">
        <v>414</v>
      </c>
      <c r="B210" s="12">
        <v>46256</v>
      </c>
      <c r="C210" s="12"/>
      <c r="E210" t="s">
        <v>415</v>
      </c>
      <c r="F210" s="2"/>
      <c r="I210">
        <v>1</v>
      </c>
      <c r="J210" s="7"/>
      <c r="K210" s="7">
        <f>tblSalesTransactions[[#This Row],[Units]]*tblSalesTransactions[[#This Row],[UnitPrice]]</f>
        <v>0</v>
      </c>
      <c r="L210" s="7">
        <v>50</v>
      </c>
      <c r="M210" s="1">
        <f>tblSalesTransactions[[#This Row],[Revenue]]-tblSalesTransactions[[#This Row],[Cost]]</f>
        <v>-50</v>
      </c>
    </row>
    <row r="211" spans="1:13">
      <c r="A211" t="s">
        <v>416</v>
      </c>
      <c r="B211" s="12">
        <v>46258</v>
      </c>
      <c r="C211" s="12"/>
      <c r="E211" t="s">
        <v>417</v>
      </c>
      <c r="F211" s="2"/>
      <c r="I211">
        <v>1</v>
      </c>
      <c r="J211" s="7"/>
      <c r="K211" s="7">
        <f>tblSalesTransactions[[#This Row],[Units]]*tblSalesTransactions[[#This Row],[UnitPrice]]</f>
        <v>0</v>
      </c>
      <c r="L211" s="7">
        <v>80.88</v>
      </c>
      <c r="M211" s="1">
        <f>tblSalesTransactions[[#This Row],[Revenue]]-tblSalesTransactions[[#This Row],[Cost]]</f>
        <v>-80.88</v>
      </c>
    </row>
    <row r="212" spans="1:13">
      <c r="A212" t="s">
        <v>418</v>
      </c>
      <c r="B212" s="12">
        <v>46258</v>
      </c>
      <c r="C212" s="12"/>
      <c r="E212" t="s">
        <v>419</v>
      </c>
      <c r="F212" s="2"/>
      <c r="I212">
        <v>1</v>
      </c>
      <c r="J212" s="7"/>
      <c r="K212" s="7">
        <f>tblSalesTransactions[[#This Row],[Units]]*tblSalesTransactions[[#This Row],[UnitPrice]]</f>
        <v>0</v>
      </c>
      <c r="L212" s="7">
        <v>57.44</v>
      </c>
      <c r="M212" s="1">
        <f>tblSalesTransactions[[#This Row],[Revenue]]-tblSalesTransactions[[#This Row],[Cost]]</f>
        <v>-57.44</v>
      </c>
    </row>
    <row r="213" spans="1:13">
      <c r="A213" t="s">
        <v>420</v>
      </c>
      <c r="B213" s="12">
        <v>46258</v>
      </c>
      <c r="C213" s="12"/>
      <c r="E213" t="s">
        <v>421</v>
      </c>
      <c r="F213" s="2"/>
      <c r="I213">
        <v>1</v>
      </c>
      <c r="J213" s="7"/>
      <c r="K213" s="7">
        <f>tblSalesTransactions[[#This Row],[Units]]*tblSalesTransactions[[#This Row],[UnitPrice]]</f>
        <v>0</v>
      </c>
      <c r="L213" s="7">
        <v>193.51</v>
      </c>
      <c r="M213" s="1">
        <f>tblSalesTransactions[[#This Row],[Revenue]]-tblSalesTransactions[[#This Row],[Cost]]</f>
        <v>-193.51</v>
      </c>
    </row>
    <row r="214" spans="1:13">
      <c r="A214" t="s">
        <v>422</v>
      </c>
      <c r="B214" s="12">
        <v>46259</v>
      </c>
      <c r="C214" s="12"/>
      <c r="E214" t="s">
        <v>423</v>
      </c>
      <c r="F214" s="2"/>
      <c r="I214">
        <v>1</v>
      </c>
      <c r="J214" s="7"/>
      <c r="K214" s="7">
        <f>tblSalesTransactions[[#This Row],[Units]]*tblSalesTransactions[[#This Row],[UnitPrice]]</f>
        <v>0</v>
      </c>
      <c r="L214" s="7">
        <v>149.99</v>
      </c>
      <c r="M214" s="1">
        <f>tblSalesTransactions[[#This Row],[Revenue]]-tblSalesTransactions[[#This Row],[Cost]]</f>
        <v>-149.99</v>
      </c>
    </row>
    <row r="215" spans="1:13">
      <c r="A215" t="s">
        <v>424</v>
      </c>
      <c r="B215" s="12">
        <v>46260</v>
      </c>
      <c r="C215" s="12"/>
      <c r="E215" t="s">
        <v>425</v>
      </c>
      <c r="F215" s="2"/>
      <c r="I215">
        <v>1</v>
      </c>
      <c r="J215" s="7"/>
      <c r="K215" s="7">
        <f>tblSalesTransactions[[#This Row],[Units]]*tblSalesTransactions[[#This Row],[UnitPrice]]</f>
        <v>0</v>
      </c>
      <c r="L215" s="7">
        <v>107</v>
      </c>
      <c r="M215" s="1">
        <f>tblSalesTransactions[[#This Row],[Revenue]]-tblSalesTransactions[[#This Row],[Cost]]</f>
        <v>-107</v>
      </c>
    </row>
    <row r="216" spans="1:13">
      <c r="A216" t="s">
        <v>426</v>
      </c>
      <c r="B216" s="12">
        <v>46260</v>
      </c>
      <c r="C216" s="12"/>
      <c r="E216" t="s">
        <v>427</v>
      </c>
      <c r="F216" s="2"/>
      <c r="I216">
        <v>1</v>
      </c>
      <c r="J216" s="7"/>
      <c r="K216" s="7">
        <f>tblSalesTransactions[[#This Row],[Units]]*tblSalesTransactions[[#This Row],[UnitPrice]]</f>
        <v>0</v>
      </c>
      <c r="L216" s="7">
        <v>123.89</v>
      </c>
      <c r="M216" s="1">
        <f>tblSalesTransactions[[#This Row],[Revenue]]-tblSalesTransactions[[#This Row],[Cost]]</f>
        <v>-123.89</v>
      </c>
    </row>
    <row r="217" spans="1:13">
      <c r="A217" t="s">
        <v>428</v>
      </c>
      <c r="B217" s="12">
        <v>46261</v>
      </c>
      <c r="C217" s="12"/>
      <c r="E217" t="s">
        <v>429</v>
      </c>
      <c r="F217" s="2"/>
      <c r="I217">
        <v>1</v>
      </c>
      <c r="J217" s="7"/>
      <c r="K217" s="7">
        <f>tblSalesTransactions[[#This Row],[Units]]*tblSalesTransactions[[#This Row],[UnitPrice]]</f>
        <v>0</v>
      </c>
      <c r="L217" s="7">
        <v>96.65</v>
      </c>
      <c r="M217" s="1">
        <f>tblSalesTransactions[[#This Row],[Revenue]]-tblSalesTransactions[[#This Row],[Cost]]</f>
        <v>-96.65</v>
      </c>
    </row>
    <row r="218" spans="1:13">
      <c r="A218" t="s">
        <v>430</v>
      </c>
      <c r="B218" s="12">
        <v>46263</v>
      </c>
      <c r="C218" s="12"/>
      <c r="E218" t="s">
        <v>431</v>
      </c>
      <c r="F218" s="2"/>
      <c r="I218">
        <v>1</v>
      </c>
      <c r="J218" s="7"/>
      <c r="K218" s="7">
        <f>tblSalesTransactions[[#This Row],[Units]]*tblSalesTransactions[[#This Row],[UnitPrice]]</f>
        <v>0</v>
      </c>
      <c r="L218" s="7">
        <v>91.14</v>
      </c>
      <c r="M218" s="1">
        <f>tblSalesTransactions[[#This Row],[Revenue]]-tblSalesTransactions[[#This Row],[Cost]]</f>
        <v>-91.14</v>
      </c>
    </row>
    <row r="219" spans="1:13">
      <c r="A219" t="s">
        <v>432</v>
      </c>
      <c r="B219" s="12">
        <v>46264</v>
      </c>
      <c r="C219" s="12"/>
      <c r="E219" t="s">
        <v>433</v>
      </c>
      <c r="F219" s="2"/>
      <c r="I219">
        <v>1</v>
      </c>
      <c r="J219" s="7"/>
      <c r="K219" s="7">
        <f>tblSalesTransactions[[#This Row],[Units]]*tblSalesTransactions[[#This Row],[UnitPrice]]</f>
        <v>0</v>
      </c>
      <c r="L219" s="7">
        <v>47.51</v>
      </c>
      <c r="M219" s="1">
        <f>tblSalesTransactions[[#This Row],[Revenue]]-tblSalesTransactions[[#This Row],[Cost]]</f>
        <v>-47.51</v>
      </c>
    </row>
    <row r="220" spans="1:13">
      <c r="A220" t="s">
        <v>434</v>
      </c>
      <c r="B220" s="12">
        <v>46264</v>
      </c>
      <c r="C220" s="12"/>
      <c r="E220" t="s">
        <v>435</v>
      </c>
      <c r="F220" s="2"/>
      <c r="I220">
        <v>1</v>
      </c>
      <c r="J220" s="7"/>
      <c r="K220" s="7">
        <f>tblSalesTransactions[[#This Row],[Units]]*tblSalesTransactions[[#This Row],[UnitPrice]]</f>
        <v>0</v>
      </c>
      <c r="L220" s="7">
        <v>117.14</v>
      </c>
      <c r="M220" s="1">
        <f>tblSalesTransactions[[#This Row],[Revenue]]-tblSalesTransactions[[#This Row],[Cost]]</f>
        <v>-117.14</v>
      </c>
    </row>
    <row r="221" spans="1:13">
      <c r="A221" t="s">
        <v>436</v>
      </c>
      <c r="B221" s="12">
        <v>46265</v>
      </c>
      <c r="C221" s="12"/>
      <c r="E221" t="s">
        <v>437</v>
      </c>
      <c r="F221" s="2"/>
      <c r="I221">
        <v>1</v>
      </c>
      <c r="J221" s="7"/>
      <c r="K221" s="7">
        <f>tblSalesTransactions[[#This Row],[Units]]*tblSalesTransactions[[#This Row],[UnitPrice]]</f>
        <v>0</v>
      </c>
      <c r="L221" s="7">
        <v>81.3</v>
      </c>
      <c r="M221" s="1">
        <f>tblSalesTransactions[[#This Row],[Revenue]]-tblSalesTransactions[[#This Row],[Cost]]</f>
        <v>-81.3</v>
      </c>
    </row>
    <row r="222" spans="1:13">
      <c r="A222" t="s">
        <v>438</v>
      </c>
      <c r="B222" s="12">
        <v>46265</v>
      </c>
      <c r="C222" s="12"/>
      <c r="E222" t="s">
        <v>439</v>
      </c>
      <c r="F222" s="2"/>
      <c r="I222">
        <v>1</v>
      </c>
      <c r="J222" s="7"/>
      <c r="K222" s="7">
        <f>tblSalesTransactions[[#This Row],[Units]]*tblSalesTransactions[[#This Row],[UnitPrice]]</f>
        <v>0</v>
      </c>
      <c r="L222" s="7">
        <v>89.78</v>
      </c>
      <c r="M222" s="1">
        <f>tblSalesTransactions[[#This Row],[Revenue]]-tblSalesTransactions[[#This Row],[Cost]]</f>
        <v>-89.78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37BE-4400-47EC-B994-8385F373D879}">
  <dimension ref="A2:N225"/>
  <sheetViews>
    <sheetView topLeftCell="A113" zoomScaleNormal="100" workbookViewId="0">
      <selection activeCell="F144" sqref="F144"/>
    </sheetView>
  </sheetViews>
  <sheetFormatPr defaultRowHeight="15"/>
  <cols>
    <col min="1" max="1" width="13.7109375" style="2" bestFit="1" customWidth="1"/>
    <col min="2" max="3" width="13.7109375" style="2" customWidth="1"/>
    <col min="4" max="4" width="38.7109375" customWidth="1"/>
    <col min="5" max="5" width="14" style="7" bestFit="1" customWidth="1"/>
    <col min="6" max="6" width="13.28515625" style="7" bestFit="1" customWidth="1"/>
    <col min="8" max="8" width="11.28515625" bestFit="1" customWidth="1"/>
    <col min="9" max="9" width="10.5703125" bestFit="1" customWidth="1"/>
  </cols>
  <sheetData>
    <row r="2" spans="1:10">
      <c r="E2" s="3">
        <f>SUM(E5:E636)</f>
        <v>14464.154999999997</v>
      </c>
      <c r="F2" s="3">
        <f>SUM(F5:F636)</f>
        <v>17749.409999999996</v>
      </c>
      <c r="H2" s="4">
        <f>F2-E2</f>
        <v>3285.2549999999992</v>
      </c>
      <c r="I2" s="5"/>
      <c r="J2" s="6">
        <f>H2/F2</f>
        <v>0.1850909410509983</v>
      </c>
    </row>
    <row r="3" spans="1:10">
      <c r="H3" s="5"/>
    </row>
    <row r="4" spans="1:10">
      <c r="A4" s="8" t="s">
        <v>440</v>
      </c>
      <c r="B4" s="8" t="s">
        <v>441</v>
      </c>
      <c r="C4" s="8" t="s">
        <v>442</v>
      </c>
      <c r="D4" s="9" t="s">
        <v>443</v>
      </c>
      <c r="E4" s="10" t="s">
        <v>444</v>
      </c>
      <c r="F4" s="10" t="s">
        <v>445</v>
      </c>
      <c r="G4" s="11"/>
      <c r="H4" s="11"/>
    </row>
    <row r="5" spans="1:10">
      <c r="A5" s="12">
        <v>46021</v>
      </c>
      <c r="B5" s="12">
        <v>46151</v>
      </c>
      <c r="C5" s="12" t="s">
        <v>15</v>
      </c>
      <c r="D5" t="s">
        <v>14</v>
      </c>
      <c r="E5" s="7">
        <v>38.54</v>
      </c>
      <c r="F5" s="7">
        <v>85</v>
      </c>
      <c r="G5" s="5"/>
    </row>
    <row r="6" spans="1:10">
      <c r="A6" s="12">
        <v>46084</v>
      </c>
      <c r="B6" s="12">
        <v>46095</v>
      </c>
      <c r="C6" s="12" t="s">
        <v>18</v>
      </c>
      <c r="D6" t="s">
        <v>17</v>
      </c>
      <c r="E6" s="7">
        <v>39.71</v>
      </c>
      <c r="F6" s="7">
        <v>50</v>
      </c>
      <c r="G6" s="5"/>
    </row>
    <row r="7" spans="1:10">
      <c r="A7" s="12">
        <v>46101</v>
      </c>
      <c r="B7" s="12">
        <v>46109</v>
      </c>
      <c r="C7" s="12" t="s">
        <v>18</v>
      </c>
      <c r="D7" t="s">
        <v>17</v>
      </c>
      <c r="E7" s="7">
        <v>29.99</v>
      </c>
      <c r="F7" s="7">
        <v>40</v>
      </c>
      <c r="G7" s="5"/>
    </row>
    <row r="8" spans="1:10">
      <c r="A8" s="12">
        <v>46104</v>
      </c>
      <c r="B8" s="12">
        <v>46109</v>
      </c>
      <c r="C8" s="12" t="s">
        <v>18</v>
      </c>
      <c r="D8" t="s">
        <v>17</v>
      </c>
      <c r="E8" s="7">
        <v>31.9</v>
      </c>
      <c r="F8" s="7">
        <v>45</v>
      </c>
      <c r="G8" s="5"/>
    </row>
    <row r="9" spans="1:10">
      <c r="A9" s="12">
        <v>46104</v>
      </c>
      <c r="B9" s="12">
        <v>46109</v>
      </c>
      <c r="C9" s="12" t="s">
        <v>18</v>
      </c>
      <c r="D9" t="s">
        <v>17</v>
      </c>
      <c r="E9" s="7">
        <v>40.520000000000003</v>
      </c>
      <c r="F9" s="7">
        <v>45</v>
      </c>
      <c r="G9" s="5"/>
    </row>
    <row r="10" spans="1:10">
      <c r="A10" s="12">
        <v>46105</v>
      </c>
      <c r="B10" s="12">
        <v>46109</v>
      </c>
      <c r="C10" s="12" t="s">
        <v>18</v>
      </c>
      <c r="D10" t="s">
        <v>17</v>
      </c>
      <c r="E10" s="7">
        <v>41.99</v>
      </c>
      <c r="F10" s="7">
        <v>45</v>
      </c>
      <c r="G10" s="5"/>
    </row>
    <row r="11" spans="1:10">
      <c r="A11" s="12">
        <v>46105</v>
      </c>
      <c r="B11" s="12">
        <v>46109</v>
      </c>
      <c r="C11" s="12" t="s">
        <v>18</v>
      </c>
      <c r="D11" t="s">
        <v>17</v>
      </c>
      <c r="E11" s="7">
        <v>37.49</v>
      </c>
      <c r="F11" s="7">
        <v>45</v>
      </c>
      <c r="G11" s="5"/>
    </row>
    <row r="12" spans="1:10">
      <c r="A12" s="12">
        <v>46105</v>
      </c>
      <c r="B12" s="12">
        <v>46109</v>
      </c>
      <c r="C12" s="12" t="s">
        <v>18</v>
      </c>
      <c r="D12" t="s">
        <v>17</v>
      </c>
      <c r="E12" s="7">
        <v>37.049999999999997</v>
      </c>
      <c r="F12" s="7">
        <v>45</v>
      </c>
      <c r="G12" s="5"/>
    </row>
    <row r="13" spans="1:10">
      <c r="A13" s="12">
        <v>46100</v>
      </c>
      <c r="B13" s="12">
        <v>46102</v>
      </c>
      <c r="C13" s="12" t="s">
        <v>18</v>
      </c>
      <c r="D13" t="s">
        <v>26</v>
      </c>
      <c r="E13" s="7">
        <v>46.65</v>
      </c>
      <c r="F13" s="7">
        <v>15</v>
      </c>
      <c r="G13" s="5"/>
    </row>
    <row r="14" spans="1:10">
      <c r="A14" s="12">
        <v>46090</v>
      </c>
      <c r="B14" s="12">
        <v>46095</v>
      </c>
      <c r="C14" s="12" t="s">
        <v>18</v>
      </c>
      <c r="D14" t="s">
        <v>28</v>
      </c>
      <c r="E14" s="7">
        <v>85</v>
      </c>
      <c r="F14" s="7">
        <v>100</v>
      </c>
      <c r="G14" s="5"/>
    </row>
    <row r="15" spans="1:10">
      <c r="A15" s="12">
        <v>46102</v>
      </c>
      <c r="D15" t="s">
        <v>30</v>
      </c>
      <c r="E15" s="7">
        <v>30</v>
      </c>
      <c r="F15" s="7">
        <v>28.17</v>
      </c>
    </row>
    <row r="16" spans="1:10">
      <c r="A16" s="13">
        <v>45931</v>
      </c>
      <c r="B16" s="12">
        <v>46102</v>
      </c>
      <c r="C16" s="12" t="s">
        <v>18</v>
      </c>
      <c r="D16" t="s">
        <v>32</v>
      </c>
      <c r="E16" s="7">
        <v>50</v>
      </c>
      <c r="F16" s="7">
        <v>100</v>
      </c>
      <c r="G16" s="5"/>
    </row>
    <row r="17" spans="1:7">
      <c r="A17" s="13">
        <v>45931</v>
      </c>
      <c r="B17" s="12">
        <v>46102</v>
      </c>
      <c r="C17" s="12" t="s">
        <v>18</v>
      </c>
      <c r="D17" t="s">
        <v>34</v>
      </c>
      <c r="E17" s="7">
        <v>40</v>
      </c>
      <c r="F17" s="7">
        <v>50</v>
      </c>
      <c r="G17" s="5"/>
    </row>
    <row r="18" spans="1:7">
      <c r="A18" s="12">
        <v>46100</v>
      </c>
      <c r="B18" s="12">
        <v>46102</v>
      </c>
      <c r="C18" s="12" t="s">
        <v>18</v>
      </c>
      <c r="D18" t="s">
        <v>36</v>
      </c>
      <c r="E18" s="7">
        <v>50</v>
      </c>
      <c r="F18" s="7">
        <v>55</v>
      </c>
      <c r="G18" s="5"/>
    </row>
    <row r="19" spans="1:7">
      <c r="A19" s="12">
        <v>46095</v>
      </c>
      <c r="B19" s="12">
        <v>46102</v>
      </c>
      <c r="C19" s="12" t="s">
        <v>18</v>
      </c>
      <c r="D19" t="s">
        <v>38</v>
      </c>
      <c r="E19" s="7">
        <v>25</v>
      </c>
      <c r="F19" s="7">
        <v>30</v>
      </c>
      <c r="G19" s="5"/>
    </row>
    <row r="20" spans="1:7">
      <c r="A20" s="12">
        <v>45953</v>
      </c>
      <c r="C20" s="2" t="s">
        <v>41</v>
      </c>
      <c r="D20" t="s">
        <v>40</v>
      </c>
      <c r="E20" s="7">
        <v>70</v>
      </c>
      <c r="F20" s="7">
        <v>63</v>
      </c>
      <c r="G20" s="5"/>
    </row>
    <row r="21" spans="1:7">
      <c r="A21" s="12">
        <v>45953</v>
      </c>
      <c r="B21" s="12">
        <v>46130</v>
      </c>
      <c r="C21" s="2" t="s">
        <v>18</v>
      </c>
      <c r="D21" t="s">
        <v>43</v>
      </c>
      <c r="E21" s="7">
        <v>50</v>
      </c>
      <c r="F21" s="7">
        <v>50</v>
      </c>
      <c r="G21" s="5"/>
    </row>
    <row r="22" spans="1:7">
      <c r="A22" s="13">
        <v>45931</v>
      </c>
      <c r="B22" s="13">
        <v>45931</v>
      </c>
      <c r="C22" s="12" t="s">
        <v>18</v>
      </c>
      <c r="D22" t="s">
        <v>45</v>
      </c>
      <c r="E22" s="7">
        <v>30</v>
      </c>
      <c r="F22" s="7">
        <v>60</v>
      </c>
      <c r="G22" s="5"/>
    </row>
    <row r="23" spans="1:7">
      <c r="A23" s="12">
        <v>46100</v>
      </c>
      <c r="B23" s="12">
        <v>46123</v>
      </c>
      <c r="C23" s="2" t="s">
        <v>18</v>
      </c>
      <c r="D23" t="s">
        <v>47</v>
      </c>
      <c r="E23" s="7">
        <v>60</v>
      </c>
      <c r="F23" s="7">
        <v>105</v>
      </c>
      <c r="G23" s="5"/>
    </row>
    <row r="24" spans="1:7">
      <c r="A24" s="12">
        <v>46102</v>
      </c>
      <c r="B24" s="12">
        <v>46123</v>
      </c>
      <c r="C24" s="2" t="s">
        <v>18</v>
      </c>
      <c r="D24" t="s">
        <v>49</v>
      </c>
      <c r="E24" s="7">
        <v>50</v>
      </c>
      <c r="F24" s="7">
        <v>105</v>
      </c>
      <c r="G24" s="5"/>
    </row>
    <row r="25" spans="1:7">
      <c r="A25" s="12">
        <v>46102</v>
      </c>
      <c r="B25" s="12">
        <v>46158</v>
      </c>
      <c r="C25" s="2" t="s">
        <v>18</v>
      </c>
      <c r="D25" t="s">
        <v>51</v>
      </c>
      <c r="E25" s="7">
        <v>40</v>
      </c>
      <c r="F25" s="7">
        <v>70</v>
      </c>
    </row>
    <row r="26" spans="1:7">
      <c r="A26" s="12">
        <v>46102</v>
      </c>
      <c r="B26" s="12">
        <v>46130</v>
      </c>
      <c r="C26" s="2" t="s">
        <v>18</v>
      </c>
      <c r="D26" t="s">
        <v>53</v>
      </c>
      <c r="E26" s="7">
        <v>40</v>
      </c>
      <c r="F26" s="7">
        <v>40</v>
      </c>
      <c r="G26" s="5"/>
    </row>
    <row r="27" spans="1:7">
      <c r="A27" s="13">
        <v>45778</v>
      </c>
      <c r="B27" s="12">
        <v>46158</v>
      </c>
      <c r="C27" s="2" t="s">
        <v>15</v>
      </c>
      <c r="D27" t="s">
        <v>55</v>
      </c>
      <c r="E27" s="7">
        <v>25</v>
      </c>
      <c r="F27" s="7">
        <v>100</v>
      </c>
    </row>
    <row r="28" spans="1:7">
      <c r="A28" s="12">
        <v>46100</v>
      </c>
      <c r="B28" s="13">
        <v>46143</v>
      </c>
      <c r="C28" s="2" t="s">
        <v>58</v>
      </c>
      <c r="D28" t="s">
        <v>57</v>
      </c>
      <c r="E28" s="24">
        <v>85</v>
      </c>
      <c r="F28" s="7">
        <v>30</v>
      </c>
    </row>
    <row r="29" spans="1:7">
      <c r="A29" s="12">
        <v>46100</v>
      </c>
      <c r="B29" s="13">
        <v>46143</v>
      </c>
      <c r="C29" s="2" t="s">
        <v>58</v>
      </c>
      <c r="D29" t="s">
        <v>60</v>
      </c>
      <c r="E29" s="24"/>
      <c r="F29" s="7">
        <v>30</v>
      </c>
    </row>
    <row r="30" spans="1:7">
      <c r="A30" s="12">
        <v>46100</v>
      </c>
      <c r="D30" t="s">
        <v>62</v>
      </c>
      <c r="E30" s="24"/>
    </row>
    <row r="31" spans="1:7">
      <c r="A31" s="12">
        <v>46100</v>
      </c>
      <c r="B31" s="12">
        <v>46173</v>
      </c>
      <c r="C31" s="2" t="s">
        <v>58</v>
      </c>
      <c r="D31" t="s">
        <v>64</v>
      </c>
      <c r="E31" s="7">
        <v>100</v>
      </c>
      <c r="F31" s="7">
        <v>140</v>
      </c>
    </row>
    <row r="32" spans="1:7">
      <c r="A32" s="13">
        <v>45839</v>
      </c>
      <c r="B32" s="12">
        <v>46096</v>
      </c>
      <c r="C32" s="12" t="s">
        <v>18</v>
      </c>
      <c r="D32" t="s">
        <v>66</v>
      </c>
      <c r="E32" s="7">
        <v>70</v>
      </c>
      <c r="F32" s="24">
        <v>180</v>
      </c>
      <c r="G32" s="5"/>
    </row>
    <row r="33" spans="1:7">
      <c r="A33" s="13">
        <v>45901</v>
      </c>
      <c r="B33" s="12">
        <v>46096</v>
      </c>
      <c r="C33" s="12" t="s">
        <v>18</v>
      </c>
      <c r="D33" t="s">
        <v>68</v>
      </c>
      <c r="E33" s="7">
        <v>20</v>
      </c>
      <c r="F33" s="24"/>
    </row>
    <row r="34" spans="1:7">
      <c r="A34" s="12">
        <v>46105</v>
      </c>
      <c r="B34" s="12">
        <v>46120</v>
      </c>
      <c r="C34" s="12" t="s">
        <v>70</v>
      </c>
      <c r="D34" t="s">
        <v>17</v>
      </c>
      <c r="E34" s="7">
        <v>40.21</v>
      </c>
      <c r="F34" s="7">
        <v>50</v>
      </c>
      <c r="G34" s="5"/>
    </row>
    <row r="35" spans="1:7">
      <c r="A35" s="12">
        <v>46102</v>
      </c>
      <c r="B35" s="12"/>
      <c r="C35" s="12"/>
      <c r="D35" t="s">
        <v>72</v>
      </c>
      <c r="E35" s="7">
        <v>20</v>
      </c>
      <c r="G35" s="5"/>
    </row>
    <row r="36" spans="1:7">
      <c r="A36" s="12">
        <v>46088</v>
      </c>
      <c r="C36" s="2" t="s">
        <v>75</v>
      </c>
      <c r="D36" t="s">
        <v>74</v>
      </c>
      <c r="E36" s="7">
        <v>10</v>
      </c>
      <c r="F36" s="7">
        <v>30</v>
      </c>
      <c r="G36" s="5"/>
    </row>
    <row r="37" spans="1:7">
      <c r="A37" s="12">
        <v>46109</v>
      </c>
      <c r="B37" s="12">
        <v>46109</v>
      </c>
      <c r="C37" s="2" t="s">
        <v>18</v>
      </c>
      <c r="D37" t="s">
        <v>77</v>
      </c>
      <c r="E37" s="7">
        <v>100</v>
      </c>
      <c r="F37" s="7">
        <v>80</v>
      </c>
      <c r="G37" t="s">
        <v>446</v>
      </c>
    </row>
    <row r="38" spans="1:7">
      <c r="A38" s="12">
        <v>46109</v>
      </c>
      <c r="B38" s="12">
        <v>46139</v>
      </c>
      <c r="C38" s="2" t="s">
        <v>41</v>
      </c>
      <c r="D38" t="s">
        <v>79</v>
      </c>
      <c r="E38" s="7">
        <v>5</v>
      </c>
      <c r="F38" s="7">
        <v>10</v>
      </c>
    </row>
    <row r="39" spans="1:7">
      <c r="A39" s="12">
        <v>46107</v>
      </c>
      <c r="B39" s="12">
        <v>46120</v>
      </c>
      <c r="C39" s="12" t="s">
        <v>70</v>
      </c>
      <c r="D39" t="s">
        <v>17</v>
      </c>
      <c r="E39" s="7">
        <v>38.44</v>
      </c>
      <c r="F39" s="7">
        <v>45</v>
      </c>
      <c r="G39" s="5"/>
    </row>
    <row r="40" spans="1:7">
      <c r="A40" s="12">
        <v>46108</v>
      </c>
      <c r="B40" s="12">
        <v>46120</v>
      </c>
      <c r="C40" s="12" t="s">
        <v>70</v>
      </c>
      <c r="D40" t="s">
        <v>17</v>
      </c>
      <c r="E40" s="7">
        <v>35.21</v>
      </c>
      <c r="F40" s="7">
        <v>45</v>
      </c>
      <c r="G40" s="5"/>
    </row>
    <row r="41" spans="1:7">
      <c r="A41" s="12">
        <v>46108</v>
      </c>
      <c r="B41" s="12">
        <v>46120</v>
      </c>
      <c r="C41" s="12" t="s">
        <v>70</v>
      </c>
      <c r="D41" t="s">
        <v>17</v>
      </c>
      <c r="E41" s="7">
        <v>30.12</v>
      </c>
      <c r="F41" s="7">
        <v>45</v>
      </c>
      <c r="G41" s="5"/>
    </row>
    <row r="42" spans="1:7">
      <c r="A42" s="12">
        <v>46112</v>
      </c>
      <c r="B42" s="12">
        <v>46120</v>
      </c>
      <c r="C42" s="12" t="s">
        <v>70</v>
      </c>
      <c r="D42" t="s">
        <v>84</v>
      </c>
      <c r="E42" s="7">
        <v>207.8</v>
      </c>
      <c r="F42" s="7">
        <f>45*8</f>
        <v>360</v>
      </c>
      <c r="G42" s="5"/>
    </row>
    <row r="43" spans="1:7">
      <c r="A43" s="13">
        <v>45931</v>
      </c>
      <c r="C43" s="2" t="s">
        <v>15</v>
      </c>
      <c r="D43" t="s">
        <v>86</v>
      </c>
      <c r="E43" s="7">
        <v>40</v>
      </c>
      <c r="F43" s="14">
        <v>74</v>
      </c>
      <c r="G43" s="5"/>
    </row>
    <row r="44" spans="1:7">
      <c r="A44" s="12">
        <v>46113</v>
      </c>
      <c r="D44" t="s">
        <v>88</v>
      </c>
      <c r="E44" s="7">
        <v>60</v>
      </c>
      <c r="F44" s="7" t="s">
        <v>447</v>
      </c>
    </row>
    <row r="45" spans="1:7">
      <c r="A45" s="12">
        <v>46113</v>
      </c>
      <c r="C45" s="2" t="s">
        <v>18</v>
      </c>
      <c r="D45" t="s">
        <v>90</v>
      </c>
      <c r="E45" s="7">
        <v>60</v>
      </c>
      <c r="F45" s="7">
        <v>90</v>
      </c>
      <c r="G45" s="5"/>
    </row>
    <row r="46" spans="1:7">
      <c r="A46" s="12">
        <v>46105</v>
      </c>
      <c r="C46" s="2" t="s">
        <v>15</v>
      </c>
      <c r="D46" t="s">
        <v>92</v>
      </c>
      <c r="E46" s="7">
        <v>40</v>
      </c>
      <c r="F46" s="7">
        <v>74</v>
      </c>
    </row>
    <row r="47" spans="1:7">
      <c r="A47" s="12">
        <v>46105</v>
      </c>
      <c r="B47" s="12">
        <v>46151</v>
      </c>
      <c r="C47" s="2" t="s">
        <v>18</v>
      </c>
      <c r="D47" t="s">
        <v>94</v>
      </c>
      <c r="E47" s="24">
        <v>70</v>
      </c>
      <c r="F47" s="7">
        <v>45</v>
      </c>
    </row>
    <row r="48" spans="1:7">
      <c r="A48" s="12">
        <v>46105</v>
      </c>
      <c r="B48" s="12">
        <v>46151</v>
      </c>
      <c r="C48" s="2" t="s">
        <v>18</v>
      </c>
      <c r="D48" t="s">
        <v>96</v>
      </c>
      <c r="E48" s="24"/>
      <c r="F48" s="7">
        <v>35</v>
      </c>
    </row>
    <row r="49" spans="1:10">
      <c r="A49" s="12">
        <v>46120</v>
      </c>
      <c r="B49" s="12">
        <v>46130</v>
      </c>
      <c r="C49" s="2" t="s">
        <v>18</v>
      </c>
      <c r="D49" t="s">
        <v>98</v>
      </c>
      <c r="E49" s="7">
        <v>71.34</v>
      </c>
      <c r="F49" s="7">
        <v>135</v>
      </c>
      <c r="G49" s="5"/>
    </row>
    <row r="50" spans="1:10">
      <c r="A50" s="12">
        <v>46109</v>
      </c>
      <c r="B50" s="12">
        <v>46130</v>
      </c>
      <c r="C50" s="2" t="s">
        <v>18</v>
      </c>
      <c r="D50" t="s">
        <v>100</v>
      </c>
      <c r="E50" s="7">
        <v>65</v>
      </c>
      <c r="F50" s="7">
        <v>120</v>
      </c>
      <c r="G50" s="5"/>
    </row>
    <row r="51" spans="1:10">
      <c r="A51" s="12">
        <v>46128</v>
      </c>
      <c r="D51" t="s">
        <v>102</v>
      </c>
      <c r="E51" s="7">
        <v>45.64</v>
      </c>
      <c r="F51" s="7">
        <v>50</v>
      </c>
    </row>
    <row r="52" spans="1:10">
      <c r="A52" s="12">
        <v>46130</v>
      </c>
      <c r="C52" s="2" t="s">
        <v>18</v>
      </c>
      <c r="D52" t="s">
        <v>104</v>
      </c>
      <c r="E52" s="7">
        <v>80</v>
      </c>
      <c r="F52" s="7">
        <v>80</v>
      </c>
      <c r="G52" s="5"/>
      <c r="H52" s="5"/>
      <c r="I52" s="5"/>
      <c r="J52" s="5"/>
    </row>
    <row r="53" spans="1:10">
      <c r="A53" s="12">
        <v>46130</v>
      </c>
      <c r="B53" s="12">
        <v>46140</v>
      </c>
      <c r="C53" s="2" t="s">
        <v>41</v>
      </c>
      <c r="D53" t="s">
        <v>106</v>
      </c>
      <c r="E53" s="7">
        <v>75.2</v>
      </c>
      <c r="F53" s="7">
        <v>160</v>
      </c>
    </row>
    <row r="54" spans="1:10">
      <c r="A54" s="12">
        <v>46130</v>
      </c>
      <c r="B54" s="12">
        <v>46180</v>
      </c>
      <c r="C54" s="2" t="s">
        <v>18</v>
      </c>
      <c r="D54" t="s">
        <v>108</v>
      </c>
      <c r="E54" s="7">
        <v>71.489999999999995</v>
      </c>
      <c r="F54" s="7">
        <v>90</v>
      </c>
    </row>
    <row r="55" spans="1:10">
      <c r="A55" s="12">
        <v>46130</v>
      </c>
      <c r="C55" s="2" t="s">
        <v>58</v>
      </c>
      <c r="D55" t="s">
        <v>55</v>
      </c>
      <c r="E55" s="7">
        <v>40</v>
      </c>
      <c r="F55" s="7">
        <v>120</v>
      </c>
    </row>
    <row r="56" spans="1:10">
      <c r="A56" s="12">
        <v>46130</v>
      </c>
      <c r="B56" s="12">
        <v>46184</v>
      </c>
      <c r="C56" s="2" t="s">
        <v>15</v>
      </c>
      <c r="D56" t="s">
        <v>111</v>
      </c>
      <c r="E56" s="7">
        <v>40</v>
      </c>
      <c r="F56" s="7">
        <v>30</v>
      </c>
    </row>
    <row r="57" spans="1:10">
      <c r="A57" s="12">
        <v>46130</v>
      </c>
      <c r="B57" s="12">
        <v>46172</v>
      </c>
      <c r="C57" s="2" t="s">
        <v>18</v>
      </c>
      <c r="D57" t="s">
        <v>113</v>
      </c>
      <c r="E57" s="7">
        <v>71.989999999999995</v>
      </c>
      <c r="F57" s="7">
        <v>130</v>
      </c>
    </row>
    <row r="58" spans="1:10">
      <c r="A58" s="12">
        <v>46130</v>
      </c>
      <c r="B58" s="12">
        <v>46132</v>
      </c>
      <c r="C58" s="2" t="s">
        <v>15</v>
      </c>
      <c r="D58" t="s">
        <v>115</v>
      </c>
      <c r="E58" s="7">
        <v>20</v>
      </c>
      <c r="F58" s="7">
        <v>49.33</v>
      </c>
      <c r="G58" s="5"/>
    </row>
    <row r="59" spans="1:10">
      <c r="A59" s="12">
        <v>46131</v>
      </c>
      <c r="B59" s="2" t="s">
        <v>41</v>
      </c>
      <c r="C59" s="12">
        <v>46181</v>
      </c>
      <c r="D59" t="s">
        <v>117</v>
      </c>
      <c r="E59" s="7">
        <v>62.19</v>
      </c>
      <c r="F59" s="7">
        <v>60</v>
      </c>
    </row>
    <row r="60" spans="1:10">
      <c r="A60" s="12">
        <v>46129</v>
      </c>
      <c r="C60" s="2" t="s">
        <v>15</v>
      </c>
      <c r="D60" t="s">
        <v>119</v>
      </c>
      <c r="E60" s="7">
        <v>52.21</v>
      </c>
      <c r="F60" s="7">
        <v>30</v>
      </c>
    </row>
    <row r="61" spans="1:10">
      <c r="A61" s="12">
        <v>46124</v>
      </c>
      <c r="C61" s="2" t="s">
        <v>122</v>
      </c>
      <c r="D61" t="s">
        <v>121</v>
      </c>
      <c r="E61" s="7">
        <v>204.5</v>
      </c>
    </row>
    <row r="62" spans="1:10">
      <c r="A62" s="12">
        <v>46130</v>
      </c>
      <c r="C62" s="2" t="s">
        <v>18</v>
      </c>
      <c r="D62" t="s">
        <v>124</v>
      </c>
      <c r="E62" s="7">
        <v>20</v>
      </c>
      <c r="F62" s="7">
        <v>30</v>
      </c>
    </row>
    <row r="63" spans="1:10">
      <c r="A63" s="12">
        <v>46132</v>
      </c>
      <c r="B63" s="12">
        <v>46157</v>
      </c>
      <c r="C63" s="2" t="s">
        <v>15</v>
      </c>
      <c r="D63" t="s">
        <v>126</v>
      </c>
      <c r="E63" s="7">
        <v>25.74</v>
      </c>
      <c r="F63" s="7">
        <v>119.52</v>
      </c>
    </row>
    <row r="64" spans="1:10">
      <c r="A64" s="12">
        <v>46134</v>
      </c>
      <c r="B64" s="12">
        <v>46158</v>
      </c>
      <c r="C64" s="2" t="s">
        <v>18</v>
      </c>
      <c r="D64" t="s">
        <v>128</v>
      </c>
      <c r="E64" s="7">
        <v>38.549999999999997</v>
      </c>
      <c r="F64" s="7">
        <v>40</v>
      </c>
    </row>
    <row r="65" spans="1:14">
      <c r="A65" s="12">
        <v>46134</v>
      </c>
      <c r="B65" s="12">
        <v>46144</v>
      </c>
      <c r="C65" s="2" t="s">
        <v>18</v>
      </c>
      <c r="D65" t="s">
        <v>130</v>
      </c>
      <c r="E65" s="7">
        <v>84.31</v>
      </c>
      <c r="F65" s="7">
        <v>120</v>
      </c>
    </row>
    <row r="66" spans="1:14">
      <c r="A66" s="12">
        <v>46135</v>
      </c>
      <c r="B66" s="12">
        <v>46184</v>
      </c>
      <c r="C66" s="2" t="s">
        <v>15</v>
      </c>
      <c r="D66" t="s">
        <v>132</v>
      </c>
      <c r="E66" s="7">
        <v>90.23</v>
      </c>
      <c r="F66" s="7">
        <v>125</v>
      </c>
    </row>
    <row r="67" spans="1:14">
      <c r="A67" s="12">
        <v>46135</v>
      </c>
      <c r="B67" s="12">
        <v>46158</v>
      </c>
      <c r="C67" s="2" t="s">
        <v>18</v>
      </c>
      <c r="D67" t="s">
        <v>128</v>
      </c>
      <c r="E67" s="7">
        <v>38.5</v>
      </c>
      <c r="F67" s="7">
        <v>45</v>
      </c>
    </row>
    <row r="68" spans="1:14">
      <c r="A68" s="12">
        <v>46135</v>
      </c>
      <c r="B68" s="12">
        <v>46158</v>
      </c>
      <c r="C68" s="2" t="s">
        <v>18</v>
      </c>
      <c r="D68" t="s">
        <v>128</v>
      </c>
      <c r="E68" s="7">
        <v>38.5</v>
      </c>
      <c r="F68" s="7">
        <v>45</v>
      </c>
    </row>
    <row r="69" spans="1:14">
      <c r="A69" s="12">
        <v>46138</v>
      </c>
      <c r="B69" s="12">
        <v>46158</v>
      </c>
      <c r="C69" s="2" t="s">
        <v>18</v>
      </c>
      <c r="D69" t="s">
        <v>128</v>
      </c>
      <c r="E69" s="7">
        <v>37.1</v>
      </c>
      <c r="F69" s="7">
        <v>40</v>
      </c>
      <c r="N69" s="15"/>
    </row>
    <row r="70" spans="1:14">
      <c r="A70" s="12">
        <v>46140</v>
      </c>
      <c r="C70" s="2" t="s">
        <v>18</v>
      </c>
      <c r="D70" t="s">
        <v>137</v>
      </c>
      <c r="E70" s="7">
        <v>64.19</v>
      </c>
      <c r="F70" s="7">
        <v>100</v>
      </c>
    </row>
    <row r="71" spans="1:14">
      <c r="A71" s="12">
        <v>46140</v>
      </c>
      <c r="D71" t="s">
        <v>139</v>
      </c>
      <c r="E71" s="24">
        <f>(458.81/2)+3.3+15</f>
        <v>247.70500000000001</v>
      </c>
      <c r="F71" s="7">
        <v>12.5</v>
      </c>
    </row>
    <row r="72" spans="1:14">
      <c r="A72" s="12">
        <v>46140</v>
      </c>
      <c r="B72" s="12">
        <v>46181</v>
      </c>
      <c r="C72" s="2" t="s">
        <v>58</v>
      </c>
      <c r="D72" t="s">
        <v>141</v>
      </c>
      <c r="E72" s="24"/>
      <c r="F72" s="7">
        <v>85</v>
      </c>
    </row>
    <row r="73" spans="1:14">
      <c r="A73" s="12">
        <v>46140</v>
      </c>
      <c r="D73" t="s">
        <v>143</v>
      </c>
      <c r="E73" s="24"/>
    </row>
    <row r="74" spans="1:14">
      <c r="A74" s="12">
        <v>46140</v>
      </c>
      <c r="C74" s="2" t="s">
        <v>58</v>
      </c>
      <c r="D74" t="s">
        <v>145</v>
      </c>
      <c r="E74" s="24"/>
      <c r="F74" s="7">
        <v>80</v>
      </c>
    </row>
    <row r="75" spans="1:14">
      <c r="A75" s="12">
        <v>46140</v>
      </c>
      <c r="B75" s="13">
        <v>46143</v>
      </c>
      <c r="C75" s="2" t="s">
        <v>58</v>
      </c>
      <c r="D75" t="s">
        <v>62</v>
      </c>
      <c r="E75" s="24"/>
      <c r="F75" s="7">
        <v>50</v>
      </c>
    </row>
    <row r="76" spans="1:14">
      <c r="A76" s="12">
        <v>46140</v>
      </c>
      <c r="B76" s="12">
        <v>46161</v>
      </c>
      <c r="C76" s="2" t="s">
        <v>58</v>
      </c>
      <c r="D76" t="s">
        <v>148</v>
      </c>
      <c r="E76" s="24"/>
      <c r="F76" s="7">
        <v>40</v>
      </c>
    </row>
    <row r="77" spans="1:14">
      <c r="A77" s="12">
        <v>46144</v>
      </c>
      <c r="B77" s="12">
        <v>46155</v>
      </c>
      <c r="C77" s="2" t="s">
        <v>15</v>
      </c>
      <c r="D77" t="s">
        <v>150</v>
      </c>
      <c r="E77" s="7">
        <v>67</v>
      </c>
      <c r="F77" s="7">
        <v>138.75</v>
      </c>
    </row>
    <row r="78" spans="1:14">
      <c r="A78" s="12">
        <v>46144</v>
      </c>
      <c r="D78" t="s">
        <v>152</v>
      </c>
      <c r="E78" s="7">
        <v>30</v>
      </c>
    </row>
    <row r="79" spans="1:14">
      <c r="A79" s="12">
        <v>46144</v>
      </c>
      <c r="B79" s="12">
        <v>46150</v>
      </c>
      <c r="C79" s="2" t="s">
        <v>15</v>
      </c>
      <c r="D79" t="s">
        <v>154</v>
      </c>
      <c r="E79" s="7">
        <v>10</v>
      </c>
      <c r="F79" s="7">
        <v>37.79</v>
      </c>
    </row>
    <row r="80" spans="1:14">
      <c r="A80" s="12">
        <v>46146</v>
      </c>
      <c r="D80" t="s">
        <v>156</v>
      </c>
      <c r="E80" s="16">
        <f>42+37.5</f>
        <v>79.5</v>
      </c>
    </row>
    <row r="81" spans="1:6">
      <c r="A81" s="12">
        <v>46146</v>
      </c>
      <c r="C81" s="2" t="s">
        <v>58</v>
      </c>
      <c r="D81" t="s">
        <v>158</v>
      </c>
      <c r="E81" s="16">
        <f>37.5+10.97</f>
        <v>48.47</v>
      </c>
      <c r="F81" s="7">
        <v>50</v>
      </c>
    </row>
    <row r="82" spans="1:6">
      <c r="A82" s="12">
        <v>46152</v>
      </c>
      <c r="B82" s="12">
        <v>46158</v>
      </c>
      <c r="C82" s="2" t="s">
        <v>18</v>
      </c>
      <c r="D82" t="s">
        <v>160</v>
      </c>
      <c r="E82" s="7">
        <v>76.59</v>
      </c>
      <c r="F82" s="7">
        <v>110</v>
      </c>
    </row>
    <row r="83" spans="1:6">
      <c r="A83" s="12">
        <v>46152</v>
      </c>
      <c r="C83" s="2" t="s">
        <v>58</v>
      </c>
      <c r="D83" t="s">
        <v>162</v>
      </c>
      <c r="E83" s="7">
        <v>34.85</v>
      </c>
      <c r="F83" s="7">
        <v>0</v>
      </c>
    </row>
    <row r="84" spans="1:6">
      <c r="A84" s="12">
        <v>46152</v>
      </c>
      <c r="B84" s="12">
        <v>46169</v>
      </c>
      <c r="C84" s="2" t="s">
        <v>58</v>
      </c>
      <c r="D84" t="s">
        <v>164</v>
      </c>
      <c r="E84" s="7">
        <v>68.989999999999995</v>
      </c>
      <c r="F84" s="7">
        <v>60</v>
      </c>
    </row>
    <row r="85" spans="1:6">
      <c r="A85" s="12">
        <v>46153</v>
      </c>
      <c r="C85" s="2" t="s">
        <v>15</v>
      </c>
      <c r="D85" t="s">
        <v>166</v>
      </c>
      <c r="E85" s="7">
        <v>47.12</v>
      </c>
      <c r="F85" s="7">
        <v>47.82</v>
      </c>
    </row>
    <row r="86" spans="1:6">
      <c r="A86" s="12">
        <v>46153</v>
      </c>
      <c r="B86" s="12">
        <v>46169</v>
      </c>
      <c r="C86" s="2" t="s">
        <v>58</v>
      </c>
      <c r="D86" t="s">
        <v>168</v>
      </c>
      <c r="E86" s="7">
        <v>50</v>
      </c>
      <c r="F86" s="7">
        <v>50</v>
      </c>
    </row>
    <row r="87" spans="1:6">
      <c r="A87" s="12">
        <v>46154</v>
      </c>
      <c r="B87" s="12">
        <v>46156</v>
      </c>
      <c r="C87" s="2" t="s">
        <v>15</v>
      </c>
      <c r="D87" t="s">
        <v>170</v>
      </c>
      <c r="E87" s="7">
        <v>118.4</v>
      </c>
      <c r="F87" s="7">
        <f>89+265</f>
        <v>354</v>
      </c>
    </row>
    <row r="88" spans="1:6">
      <c r="A88" s="12">
        <v>46154</v>
      </c>
      <c r="B88" s="12">
        <v>46159</v>
      </c>
      <c r="C88" s="2" t="s">
        <v>58</v>
      </c>
      <c r="D88" t="s">
        <v>172</v>
      </c>
      <c r="E88" s="7">
        <v>75.23</v>
      </c>
      <c r="F88" s="7">
        <v>130</v>
      </c>
    </row>
    <row r="89" spans="1:6">
      <c r="A89" s="12">
        <v>46158</v>
      </c>
      <c r="B89" s="12">
        <v>46166</v>
      </c>
      <c r="C89" s="2" t="s">
        <v>15</v>
      </c>
      <c r="D89" t="s">
        <v>174</v>
      </c>
      <c r="E89" s="7">
        <v>70</v>
      </c>
      <c r="F89" s="7">
        <v>107.5</v>
      </c>
    </row>
    <row r="90" spans="1:6">
      <c r="A90" s="12">
        <v>46158</v>
      </c>
      <c r="C90" s="2" t="s">
        <v>15</v>
      </c>
      <c r="D90" t="s">
        <v>176</v>
      </c>
      <c r="E90" s="7">
        <f>30+6.51+15.38</f>
        <v>51.89</v>
      </c>
      <c r="F90" s="7">
        <v>115</v>
      </c>
    </row>
    <row r="91" spans="1:6">
      <c r="A91" s="12">
        <v>46158</v>
      </c>
      <c r="B91" s="12">
        <v>46181</v>
      </c>
      <c r="C91" s="12" t="s">
        <v>58</v>
      </c>
      <c r="D91" t="s">
        <v>178</v>
      </c>
      <c r="E91" s="7">
        <f>8+56.64</f>
        <v>64.64</v>
      </c>
      <c r="F91" s="7">
        <v>125</v>
      </c>
    </row>
    <row r="92" spans="1:6">
      <c r="A92" s="12">
        <v>46159</v>
      </c>
      <c r="C92" s="2" t="s">
        <v>58</v>
      </c>
      <c r="D92" t="s">
        <v>180</v>
      </c>
      <c r="E92" s="7">
        <v>79.98</v>
      </c>
      <c r="F92" s="7">
        <v>56</v>
      </c>
    </row>
    <row r="93" spans="1:6">
      <c r="A93" s="12">
        <v>46159</v>
      </c>
      <c r="B93" s="12">
        <v>46156</v>
      </c>
      <c r="C93" s="2" t="s">
        <v>183</v>
      </c>
      <c r="D93" t="s">
        <v>182</v>
      </c>
      <c r="E93" s="7">
        <v>30</v>
      </c>
      <c r="F93" s="7">
        <v>80</v>
      </c>
    </row>
    <row r="94" spans="1:6">
      <c r="A94" s="12">
        <v>46137</v>
      </c>
      <c r="B94" s="12">
        <v>46160</v>
      </c>
      <c r="C94" s="2" t="s">
        <v>58</v>
      </c>
      <c r="D94" t="s">
        <v>185</v>
      </c>
      <c r="E94" s="7">
        <v>100</v>
      </c>
      <c r="F94" s="7">
        <v>150</v>
      </c>
    </row>
    <row r="95" spans="1:6">
      <c r="A95" s="12">
        <v>46160</v>
      </c>
      <c r="B95" s="12">
        <v>46166</v>
      </c>
      <c r="C95" s="2" t="s">
        <v>58</v>
      </c>
      <c r="D95" t="s">
        <v>187</v>
      </c>
      <c r="E95" s="7">
        <v>80.150000000000006</v>
      </c>
      <c r="F95" s="7">
        <v>80.150000000000006</v>
      </c>
    </row>
    <row r="96" spans="1:6">
      <c r="A96" s="12">
        <v>46160</v>
      </c>
      <c r="B96" s="12">
        <v>46176</v>
      </c>
      <c r="C96" s="2" t="s">
        <v>15</v>
      </c>
      <c r="D96" t="s">
        <v>189</v>
      </c>
      <c r="E96" s="7">
        <f>8+84.3</f>
        <v>92.3</v>
      </c>
      <c r="F96" s="7">
        <v>169</v>
      </c>
    </row>
    <row r="97" spans="1:6">
      <c r="A97" s="12">
        <v>46161</v>
      </c>
      <c r="B97" s="12">
        <v>46181</v>
      </c>
      <c r="C97" s="12" t="s">
        <v>58</v>
      </c>
      <c r="D97" t="s">
        <v>191</v>
      </c>
      <c r="E97" s="7">
        <v>94.99</v>
      </c>
      <c r="F97" s="7">
        <v>150</v>
      </c>
    </row>
    <row r="98" spans="1:6">
      <c r="A98" s="12">
        <v>46161</v>
      </c>
      <c r="D98" t="s">
        <v>193</v>
      </c>
      <c r="E98" s="7">
        <v>80</v>
      </c>
    </row>
    <row r="99" spans="1:6">
      <c r="A99" s="12">
        <v>46161</v>
      </c>
      <c r="C99" s="2" t="s">
        <v>58</v>
      </c>
      <c r="D99" t="s">
        <v>195</v>
      </c>
      <c r="E99" s="25">
        <v>65</v>
      </c>
      <c r="F99" s="7">
        <v>20</v>
      </c>
    </row>
    <row r="100" spans="1:6">
      <c r="A100" s="12">
        <v>46161</v>
      </c>
      <c r="C100" s="2" t="s">
        <v>58</v>
      </c>
      <c r="D100" t="s">
        <v>197</v>
      </c>
      <c r="E100" s="25"/>
      <c r="F100" s="7">
        <v>20</v>
      </c>
    </row>
    <row r="101" spans="1:6">
      <c r="A101" s="12">
        <v>46161</v>
      </c>
      <c r="C101" s="2" t="s">
        <v>58</v>
      </c>
      <c r="D101" t="s">
        <v>199</v>
      </c>
      <c r="E101" s="25"/>
      <c r="F101" s="7">
        <v>20</v>
      </c>
    </row>
    <row r="102" spans="1:6">
      <c r="A102" s="12">
        <v>46161</v>
      </c>
      <c r="C102" s="2" t="s">
        <v>15</v>
      </c>
      <c r="D102" t="s">
        <v>201</v>
      </c>
      <c r="E102" s="25"/>
      <c r="F102" s="7">
        <v>50</v>
      </c>
    </row>
    <row r="103" spans="1:6">
      <c r="A103" s="12">
        <v>46165</v>
      </c>
      <c r="B103" s="12">
        <v>46166</v>
      </c>
      <c r="C103" s="2" t="s">
        <v>15</v>
      </c>
      <c r="D103" t="s">
        <v>203</v>
      </c>
      <c r="E103" s="19">
        <v>50</v>
      </c>
      <c r="F103" s="7">
        <v>140</v>
      </c>
    </row>
    <row r="104" spans="1:6">
      <c r="A104" s="12">
        <v>46166</v>
      </c>
      <c r="B104" s="12">
        <v>46174</v>
      </c>
      <c r="C104" s="2" t="s">
        <v>15</v>
      </c>
      <c r="D104" t="s">
        <v>205</v>
      </c>
      <c r="E104" s="25">
        <v>130</v>
      </c>
      <c r="F104" s="7">
        <v>270</v>
      </c>
    </row>
    <row r="105" spans="1:6">
      <c r="A105" s="12">
        <v>46166</v>
      </c>
      <c r="B105" s="12">
        <v>46184</v>
      </c>
      <c r="C105" s="2" t="s">
        <v>58</v>
      </c>
      <c r="D105" t="s">
        <v>207</v>
      </c>
      <c r="E105" s="25"/>
      <c r="F105" s="7">
        <v>240</v>
      </c>
    </row>
    <row r="106" spans="1:6">
      <c r="A106" s="12">
        <v>46165</v>
      </c>
      <c r="B106" s="12">
        <v>46179</v>
      </c>
      <c r="C106" s="2" t="s">
        <v>58</v>
      </c>
      <c r="D106" t="s">
        <v>209</v>
      </c>
      <c r="E106" s="7">
        <f>5.49+110.08</f>
        <v>115.57</v>
      </c>
      <c r="F106" s="7">
        <v>250</v>
      </c>
    </row>
    <row r="107" spans="1:6">
      <c r="A107" s="12">
        <v>46167</v>
      </c>
      <c r="B107" s="12">
        <v>46182</v>
      </c>
      <c r="C107" s="12" t="s">
        <v>41</v>
      </c>
      <c r="D107" t="s">
        <v>211</v>
      </c>
      <c r="E107" s="7">
        <v>22.44</v>
      </c>
      <c r="F107" s="7">
        <v>0</v>
      </c>
    </row>
    <row r="108" spans="1:6">
      <c r="A108" s="12">
        <v>46167</v>
      </c>
      <c r="B108" s="12">
        <v>46180</v>
      </c>
      <c r="C108" s="2" t="s">
        <v>18</v>
      </c>
      <c r="D108" t="s">
        <v>213</v>
      </c>
      <c r="E108" s="7">
        <v>118.4</v>
      </c>
      <c r="F108" s="7">
        <v>210</v>
      </c>
    </row>
    <row r="109" spans="1:6">
      <c r="A109" s="12">
        <v>46167</v>
      </c>
      <c r="B109" s="12">
        <v>46179</v>
      </c>
      <c r="C109" s="2" t="s">
        <v>58</v>
      </c>
      <c r="D109" t="s">
        <v>215</v>
      </c>
      <c r="E109" s="7">
        <v>130</v>
      </c>
      <c r="F109" s="7">
        <v>180</v>
      </c>
    </row>
    <row r="110" spans="1:6">
      <c r="A110" s="12">
        <v>46167</v>
      </c>
      <c r="C110" s="2" t="s">
        <v>18</v>
      </c>
      <c r="D110" t="s">
        <v>217</v>
      </c>
      <c r="E110" s="7">
        <v>65.5</v>
      </c>
      <c r="F110" s="7">
        <v>60</v>
      </c>
    </row>
    <row r="111" spans="1:6">
      <c r="A111" s="12">
        <v>46169</v>
      </c>
      <c r="D111" t="s">
        <v>219</v>
      </c>
      <c r="E111" s="7">
        <f>14.88+81.25</f>
        <v>96.13</v>
      </c>
      <c r="F111" s="7">
        <v>70</v>
      </c>
    </row>
    <row r="112" spans="1:6">
      <c r="A112" s="12">
        <v>46172</v>
      </c>
      <c r="B112" s="12">
        <v>46180</v>
      </c>
      <c r="C112" s="2" t="s">
        <v>18</v>
      </c>
      <c r="D112" t="s">
        <v>221</v>
      </c>
      <c r="E112" s="7">
        <v>20</v>
      </c>
      <c r="F112" s="7">
        <v>60</v>
      </c>
    </row>
    <row r="113" spans="1:6">
      <c r="A113" s="12">
        <v>46173</v>
      </c>
      <c r="C113" s="2" t="s">
        <v>58</v>
      </c>
      <c r="D113" t="s">
        <v>223</v>
      </c>
      <c r="E113" s="7">
        <v>60</v>
      </c>
      <c r="F113" s="7">
        <v>120</v>
      </c>
    </row>
    <row r="114" spans="1:6">
      <c r="A114" s="12">
        <v>46175</v>
      </c>
      <c r="C114" s="2" t="s">
        <v>15</v>
      </c>
      <c r="D114" t="s">
        <v>225</v>
      </c>
      <c r="E114" s="7">
        <f>52.19+13.12</f>
        <v>65.31</v>
      </c>
      <c r="F114" s="7">
        <v>56</v>
      </c>
    </row>
    <row r="115" spans="1:6">
      <c r="A115" s="12">
        <v>46177</v>
      </c>
      <c r="C115" s="2" t="s">
        <v>15</v>
      </c>
      <c r="D115" t="s">
        <v>227</v>
      </c>
      <c r="E115" s="7">
        <v>57.91</v>
      </c>
      <c r="F115" s="7">
        <v>70</v>
      </c>
    </row>
    <row r="116" spans="1:6">
      <c r="A116" s="12">
        <v>46179</v>
      </c>
      <c r="C116" s="2" t="s">
        <v>58</v>
      </c>
      <c r="D116" t="s">
        <v>229</v>
      </c>
      <c r="E116" s="7">
        <v>181.72</v>
      </c>
      <c r="F116" s="7">
        <v>250</v>
      </c>
    </row>
    <row r="117" spans="1:6">
      <c r="A117" s="12">
        <v>46180</v>
      </c>
      <c r="B117" s="12">
        <v>46184</v>
      </c>
      <c r="C117" s="12" t="s">
        <v>41</v>
      </c>
      <c r="D117" t="s">
        <v>231</v>
      </c>
      <c r="E117" s="7">
        <v>99.39</v>
      </c>
      <c r="F117" s="7">
        <v>200</v>
      </c>
    </row>
    <row r="118" spans="1:6">
      <c r="A118" s="12">
        <v>46182</v>
      </c>
      <c r="C118" s="2" t="s">
        <v>58</v>
      </c>
      <c r="D118" t="s">
        <v>233</v>
      </c>
      <c r="E118" s="7">
        <v>48.84</v>
      </c>
      <c r="F118" s="7">
        <v>100</v>
      </c>
    </row>
    <row r="119" spans="1:6">
      <c r="A119" s="12">
        <v>46181</v>
      </c>
      <c r="C119" s="2" t="s">
        <v>58</v>
      </c>
      <c r="D119" t="s">
        <v>235</v>
      </c>
      <c r="E119" s="7">
        <f>8+60.84</f>
        <v>68.84</v>
      </c>
      <c r="F119" s="7">
        <v>140</v>
      </c>
    </row>
    <row r="120" spans="1:6">
      <c r="A120" s="12">
        <v>46183</v>
      </c>
      <c r="C120" s="2" t="s">
        <v>18</v>
      </c>
      <c r="D120" t="s">
        <v>237</v>
      </c>
      <c r="E120" s="7">
        <v>40</v>
      </c>
      <c r="F120" s="7">
        <v>80</v>
      </c>
    </row>
    <row r="121" spans="1:6">
      <c r="A121" s="12">
        <v>46183</v>
      </c>
      <c r="C121" s="2" t="s">
        <v>58</v>
      </c>
      <c r="D121" t="s">
        <v>239</v>
      </c>
      <c r="E121" s="7">
        <f>16.98+50</f>
        <v>66.98</v>
      </c>
      <c r="F121" s="7">
        <v>50</v>
      </c>
    </row>
    <row r="122" spans="1:6">
      <c r="A122" s="12">
        <v>46183</v>
      </c>
      <c r="D122" t="s">
        <v>26</v>
      </c>
      <c r="E122" s="24">
        <f>80+12.99+20.16</f>
        <v>113.14999999999999</v>
      </c>
      <c r="F122" s="7">
        <v>50</v>
      </c>
    </row>
    <row r="123" spans="1:6">
      <c r="A123" s="12">
        <v>46183</v>
      </c>
      <c r="D123" t="s">
        <v>242</v>
      </c>
      <c r="E123" s="24"/>
      <c r="F123" s="7">
        <v>60</v>
      </c>
    </row>
    <row r="124" spans="1:6">
      <c r="A124" s="12">
        <v>46183</v>
      </c>
      <c r="D124" t="s">
        <v>244</v>
      </c>
      <c r="E124" s="7">
        <v>76.55</v>
      </c>
    </row>
    <row r="125" spans="1:6">
      <c r="A125" s="12">
        <v>46184</v>
      </c>
      <c r="D125" t="s">
        <v>246</v>
      </c>
      <c r="E125" s="7">
        <v>70</v>
      </c>
      <c r="F125" s="7">
        <v>140</v>
      </c>
    </row>
    <row r="126" spans="1:6">
      <c r="A126" s="12">
        <v>46186</v>
      </c>
      <c r="D126" t="s">
        <v>248</v>
      </c>
      <c r="E126" s="7">
        <v>80</v>
      </c>
    </row>
    <row r="127" spans="1:6">
      <c r="A127" s="12">
        <v>46186</v>
      </c>
      <c r="D127" t="s">
        <v>154</v>
      </c>
      <c r="E127" s="7">
        <v>20</v>
      </c>
      <c r="F127" s="7">
        <v>50</v>
      </c>
    </row>
    <row r="128" spans="1:6">
      <c r="A128" s="12">
        <v>46186</v>
      </c>
      <c r="D128" t="s">
        <v>251</v>
      </c>
      <c r="E128" s="7">
        <v>40</v>
      </c>
    </row>
    <row r="129" spans="1:6">
      <c r="A129" s="12">
        <v>46186</v>
      </c>
      <c r="D129" t="s">
        <v>185</v>
      </c>
      <c r="E129" s="25">
        <v>100</v>
      </c>
      <c r="F129" s="7">
        <v>100</v>
      </c>
    </row>
    <row r="130" spans="1:6">
      <c r="A130" s="12">
        <v>46186</v>
      </c>
      <c r="D130" t="s">
        <v>254</v>
      </c>
      <c r="E130" s="25"/>
      <c r="F130" s="7">
        <v>100</v>
      </c>
    </row>
    <row r="131" spans="1:6">
      <c r="A131" s="12">
        <v>46187</v>
      </c>
      <c r="D131" t="s">
        <v>256</v>
      </c>
      <c r="E131" s="7">
        <v>70</v>
      </c>
      <c r="F131" s="7">
        <v>115</v>
      </c>
    </row>
    <row r="132" spans="1:6">
      <c r="A132" s="12">
        <v>46187</v>
      </c>
      <c r="D132" t="s">
        <v>258</v>
      </c>
      <c r="E132" s="7">
        <v>30</v>
      </c>
      <c r="F132" s="7">
        <v>60</v>
      </c>
    </row>
    <row r="133" spans="1:6">
      <c r="A133" s="12">
        <v>46187</v>
      </c>
      <c r="D133" t="s">
        <v>260</v>
      </c>
      <c r="E133" s="7">
        <v>10</v>
      </c>
    </row>
    <row r="134" spans="1:6">
      <c r="A134" s="12">
        <v>46187</v>
      </c>
      <c r="D134" t="s">
        <v>262</v>
      </c>
      <c r="E134" s="7">
        <v>50</v>
      </c>
    </row>
    <row r="135" spans="1:6">
      <c r="A135" s="12">
        <v>46188</v>
      </c>
      <c r="D135" t="s">
        <v>264</v>
      </c>
      <c r="E135" s="24">
        <f>150</f>
        <v>150</v>
      </c>
    </row>
    <row r="136" spans="1:6">
      <c r="A136" s="12">
        <v>46188</v>
      </c>
      <c r="D136" t="s">
        <v>266</v>
      </c>
      <c r="E136" s="24"/>
    </row>
    <row r="137" spans="1:6">
      <c r="A137" s="12">
        <v>46188</v>
      </c>
      <c r="D137" t="s">
        <v>174</v>
      </c>
      <c r="E137" s="24"/>
      <c r="F137" s="7">
        <v>70</v>
      </c>
    </row>
    <row r="138" spans="1:6">
      <c r="A138" s="12">
        <v>46188</v>
      </c>
      <c r="D138" t="s">
        <v>269</v>
      </c>
      <c r="E138" s="24"/>
      <c r="F138" s="7">
        <v>80</v>
      </c>
    </row>
    <row r="139" spans="1:6">
      <c r="A139" s="12">
        <v>46188</v>
      </c>
      <c r="D139" t="s">
        <v>271</v>
      </c>
      <c r="E139" s="24"/>
      <c r="F139" s="7">
        <v>33</v>
      </c>
    </row>
    <row r="140" spans="1:6">
      <c r="A140" s="12">
        <v>46188</v>
      </c>
      <c r="D140" t="s">
        <v>273</v>
      </c>
      <c r="E140" s="24"/>
    </row>
    <row r="141" spans="1:6">
      <c r="A141" s="12">
        <v>46188</v>
      </c>
      <c r="D141" t="s">
        <v>275</v>
      </c>
      <c r="E141" s="24"/>
    </row>
    <row r="142" spans="1:6">
      <c r="A142" s="12">
        <v>46188</v>
      </c>
      <c r="D142" t="s">
        <v>277</v>
      </c>
      <c r="E142" s="24"/>
    </row>
    <row r="143" spans="1:6">
      <c r="A143" s="12">
        <v>46191</v>
      </c>
      <c r="D143" t="s">
        <v>279</v>
      </c>
      <c r="E143" s="7">
        <v>30</v>
      </c>
    </row>
    <row r="144" spans="1:6">
      <c r="A144" s="12">
        <v>46194</v>
      </c>
      <c r="D144" t="s">
        <v>281</v>
      </c>
      <c r="E144" s="24">
        <f>9+150</f>
        <v>159</v>
      </c>
      <c r="F144" s="7">
        <v>170</v>
      </c>
    </row>
    <row r="145" spans="1:6">
      <c r="A145" s="12">
        <v>46194</v>
      </c>
      <c r="D145" t="s">
        <v>283</v>
      </c>
      <c r="E145" s="24"/>
      <c r="F145" s="7">
        <v>110</v>
      </c>
    </row>
    <row r="146" spans="1:6">
      <c r="A146" s="12">
        <v>46191</v>
      </c>
      <c r="D146" t="s">
        <v>285</v>
      </c>
      <c r="E146" s="7">
        <v>175.6</v>
      </c>
      <c r="F146" s="7">
        <v>220</v>
      </c>
    </row>
    <row r="147" spans="1:6">
      <c r="A147" s="12">
        <v>46191</v>
      </c>
      <c r="D147" t="s">
        <v>287</v>
      </c>
      <c r="E147" s="7">
        <f>158.41-20</f>
        <v>138.41</v>
      </c>
      <c r="F147" s="7">
        <v>220</v>
      </c>
    </row>
    <row r="148" spans="1:6">
      <c r="A148" s="12">
        <v>46196</v>
      </c>
      <c r="D148" t="s">
        <v>289</v>
      </c>
      <c r="E148" s="7">
        <v>67</v>
      </c>
      <c r="F148" s="7">
        <v>120</v>
      </c>
    </row>
    <row r="149" spans="1:6">
      <c r="A149" s="12">
        <v>46197</v>
      </c>
      <c r="D149" t="s">
        <v>291</v>
      </c>
      <c r="E149" s="7">
        <v>72</v>
      </c>
    </row>
    <row r="150" spans="1:6">
      <c r="A150" s="12">
        <v>46198</v>
      </c>
      <c r="D150" t="s">
        <v>293</v>
      </c>
      <c r="E150" s="7">
        <v>75.540000000000006</v>
      </c>
      <c r="F150" s="7">
        <v>120</v>
      </c>
    </row>
    <row r="151" spans="1:6">
      <c r="A151" s="12">
        <v>46198</v>
      </c>
      <c r="D151" t="s">
        <v>295</v>
      </c>
      <c r="E151" s="7">
        <v>147</v>
      </c>
      <c r="F151" s="7">
        <v>200</v>
      </c>
    </row>
    <row r="152" spans="1:6">
      <c r="A152" s="12">
        <v>46205</v>
      </c>
      <c r="D152" t="s">
        <v>297</v>
      </c>
      <c r="E152" s="7">
        <v>175.2</v>
      </c>
      <c r="F152" s="7">
        <v>235</v>
      </c>
    </row>
    <row r="153" spans="1:6">
      <c r="A153" s="12">
        <v>46206</v>
      </c>
      <c r="D153" t="s">
        <v>185</v>
      </c>
      <c r="E153" s="7">
        <v>87</v>
      </c>
      <c r="F153" s="7">
        <v>150</v>
      </c>
    </row>
    <row r="154" spans="1:6">
      <c r="A154" s="12">
        <v>46208</v>
      </c>
      <c r="D154" t="s">
        <v>300</v>
      </c>
      <c r="E154" s="7">
        <v>130</v>
      </c>
      <c r="F154" s="7">
        <v>150</v>
      </c>
    </row>
    <row r="155" spans="1:6">
      <c r="A155" s="12">
        <v>46210</v>
      </c>
      <c r="D155" t="s">
        <v>302</v>
      </c>
      <c r="E155" s="7">
        <v>102</v>
      </c>
      <c r="F155" s="7">
        <v>130</v>
      </c>
    </row>
    <row r="156" spans="1:6">
      <c r="A156" s="12">
        <v>46211</v>
      </c>
      <c r="D156" t="s">
        <v>304</v>
      </c>
      <c r="E156" s="7">
        <v>117.8</v>
      </c>
      <c r="F156" s="7">
        <v>235</v>
      </c>
    </row>
    <row r="157" spans="1:6">
      <c r="A157" s="12">
        <v>46211</v>
      </c>
      <c r="D157" t="s">
        <v>306</v>
      </c>
      <c r="E157" s="7">
        <v>46.65</v>
      </c>
      <c r="F157" s="7">
        <v>70</v>
      </c>
    </row>
    <row r="158" spans="1:6">
      <c r="A158" s="12">
        <v>46211</v>
      </c>
      <c r="D158" t="s">
        <v>306</v>
      </c>
      <c r="E158" s="7">
        <v>36.65</v>
      </c>
      <c r="F158" s="7">
        <v>30</v>
      </c>
    </row>
    <row r="159" spans="1:6">
      <c r="A159" s="12">
        <v>46211</v>
      </c>
      <c r="D159" t="s">
        <v>309</v>
      </c>
      <c r="E159" s="7">
        <v>156.69999999999999</v>
      </c>
      <c r="F159" s="7">
        <v>250</v>
      </c>
    </row>
    <row r="160" spans="1:6">
      <c r="A160" s="12">
        <v>46212</v>
      </c>
      <c r="D160" t="s">
        <v>311</v>
      </c>
      <c r="E160" s="7">
        <v>31.72</v>
      </c>
      <c r="F160" s="7">
        <v>30</v>
      </c>
    </row>
    <row r="161" spans="1:6">
      <c r="A161" s="12">
        <v>46214</v>
      </c>
      <c r="D161" t="s">
        <v>313</v>
      </c>
      <c r="E161" s="7">
        <f>30+120.98</f>
        <v>150.98000000000002</v>
      </c>
      <c r="F161" s="7">
        <v>240</v>
      </c>
    </row>
    <row r="162" spans="1:6">
      <c r="A162" s="12">
        <v>46211</v>
      </c>
      <c r="D162" t="s">
        <v>315</v>
      </c>
      <c r="E162" s="25">
        <v>60</v>
      </c>
      <c r="F162" s="7">
        <v>45</v>
      </c>
    </row>
    <row r="163" spans="1:6">
      <c r="A163" s="12">
        <v>46211</v>
      </c>
      <c r="D163" t="s">
        <v>317</v>
      </c>
      <c r="E163" s="25"/>
      <c r="F163" s="7">
        <v>80</v>
      </c>
    </row>
    <row r="164" spans="1:6">
      <c r="A164" s="12">
        <v>46218</v>
      </c>
      <c r="D164" t="s">
        <v>319</v>
      </c>
      <c r="E164" s="7">
        <v>68.83</v>
      </c>
      <c r="F164" s="7">
        <v>150</v>
      </c>
    </row>
    <row r="165" spans="1:6">
      <c r="A165" s="12">
        <v>46221</v>
      </c>
      <c r="D165" t="s">
        <v>321</v>
      </c>
      <c r="E165" s="7">
        <v>92.52</v>
      </c>
      <c r="F165" s="7">
        <v>92.52</v>
      </c>
    </row>
    <row r="166" spans="1:6">
      <c r="A166" s="12">
        <v>46222</v>
      </c>
      <c r="D166" t="s">
        <v>323</v>
      </c>
      <c r="E166" s="7">
        <v>92.44</v>
      </c>
      <c r="F166" s="7">
        <v>170</v>
      </c>
    </row>
    <row r="167" spans="1:6">
      <c r="A167" s="12">
        <v>46223</v>
      </c>
      <c r="D167" t="s">
        <v>325</v>
      </c>
      <c r="E167" s="7">
        <v>75</v>
      </c>
      <c r="F167" s="7">
        <v>127.21</v>
      </c>
    </row>
    <row r="168" spans="1:6">
      <c r="A168" s="12">
        <v>46224</v>
      </c>
      <c r="D168" t="s">
        <v>327</v>
      </c>
      <c r="E168" s="7">
        <v>66.989999999999995</v>
      </c>
      <c r="F168" s="7">
        <v>110</v>
      </c>
    </row>
    <row r="169" spans="1:6">
      <c r="A169" s="12">
        <v>46225</v>
      </c>
      <c r="D169" t="s">
        <v>329</v>
      </c>
      <c r="E169" s="7">
        <v>40</v>
      </c>
      <c r="F169" s="7">
        <v>180</v>
      </c>
    </row>
    <row r="170" spans="1:6">
      <c r="A170" s="12">
        <v>46225</v>
      </c>
      <c r="D170" t="s">
        <v>331</v>
      </c>
      <c r="E170" s="7">
        <v>30</v>
      </c>
      <c r="F170" s="7">
        <v>30</v>
      </c>
    </row>
    <row r="171" spans="1:6">
      <c r="A171" s="12">
        <v>46225</v>
      </c>
      <c r="D171" t="s">
        <v>333</v>
      </c>
      <c r="E171" s="23">
        <v>92.52</v>
      </c>
      <c r="F171" s="7">
        <v>120</v>
      </c>
    </row>
    <row r="172" spans="1:6">
      <c r="A172" s="12">
        <v>46225</v>
      </c>
      <c r="D172" t="s">
        <v>335</v>
      </c>
      <c r="E172" s="23"/>
      <c r="F172" s="7">
        <v>30</v>
      </c>
    </row>
    <row r="173" spans="1:6">
      <c r="A173" s="12">
        <v>46227</v>
      </c>
      <c r="D173" t="s">
        <v>337</v>
      </c>
      <c r="E173" s="7">
        <v>64.650000000000006</v>
      </c>
      <c r="F173" s="7">
        <v>70</v>
      </c>
    </row>
    <row r="174" spans="1:6">
      <c r="A174" s="12">
        <v>46228</v>
      </c>
      <c r="D174" t="s">
        <v>339</v>
      </c>
      <c r="E174" s="7">
        <v>76.92</v>
      </c>
    </row>
    <row r="175" spans="1:6">
      <c r="A175" s="12">
        <v>46229</v>
      </c>
      <c r="D175" t="s">
        <v>341</v>
      </c>
      <c r="E175" s="7">
        <v>35.32</v>
      </c>
      <c r="F175" s="7">
        <v>143.56</v>
      </c>
    </row>
    <row r="176" spans="1:6">
      <c r="A176" s="12">
        <v>46229</v>
      </c>
      <c r="D176" t="s">
        <v>343</v>
      </c>
      <c r="E176" s="7">
        <v>93.5</v>
      </c>
      <c r="F176" s="7">
        <v>150</v>
      </c>
    </row>
    <row r="177" spans="1:6">
      <c r="A177" s="12">
        <v>46229</v>
      </c>
      <c r="D177" t="s">
        <v>345</v>
      </c>
      <c r="E177" s="7">
        <v>139.77000000000001</v>
      </c>
      <c r="F177" s="7">
        <v>150</v>
      </c>
    </row>
    <row r="178" spans="1:6">
      <c r="A178" s="12">
        <v>46229</v>
      </c>
      <c r="D178" t="s">
        <v>347</v>
      </c>
      <c r="E178" s="7">
        <v>49.49</v>
      </c>
      <c r="F178" s="17">
        <v>160</v>
      </c>
    </row>
    <row r="179" spans="1:6">
      <c r="A179" s="12">
        <v>46229</v>
      </c>
      <c r="D179" t="s">
        <v>349</v>
      </c>
      <c r="E179" s="14">
        <v>55.21</v>
      </c>
      <c r="F179" s="14">
        <v>120</v>
      </c>
    </row>
    <row r="180" spans="1:6">
      <c r="A180" s="12">
        <v>46230</v>
      </c>
      <c r="D180" t="s">
        <v>254</v>
      </c>
      <c r="E180" s="7">
        <v>125</v>
      </c>
      <c r="F180" s="7">
        <v>160</v>
      </c>
    </row>
    <row r="181" spans="1:6">
      <c r="A181" s="12">
        <v>46231</v>
      </c>
      <c r="D181" t="s">
        <v>352</v>
      </c>
      <c r="E181" s="7">
        <v>65.989999999999995</v>
      </c>
    </row>
    <row r="182" spans="1:6">
      <c r="A182" s="12">
        <v>46231</v>
      </c>
      <c r="D182" t="s">
        <v>354</v>
      </c>
      <c r="E182" s="7">
        <v>43.55</v>
      </c>
    </row>
    <row r="183" spans="1:6">
      <c r="A183" s="12">
        <v>46233</v>
      </c>
      <c r="D183" t="s">
        <v>356</v>
      </c>
      <c r="E183" s="7">
        <f>10+173.7</f>
        <v>183.7</v>
      </c>
      <c r="F183" s="7">
        <v>210</v>
      </c>
    </row>
    <row r="184" spans="1:6">
      <c r="A184" s="12">
        <v>46234</v>
      </c>
      <c r="D184" t="s">
        <v>358</v>
      </c>
      <c r="E184" s="7">
        <v>150</v>
      </c>
      <c r="F184" s="7">
        <f>80.75+78+125</f>
        <v>283.75</v>
      </c>
    </row>
    <row r="185" spans="1:6">
      <c r="A185" s="12">
        <v>46235</v>
      </c>
      <c r="D185" t="s">
        <v>360</v>
      </c>
      <c r="E185" s="7">
        <v>10</v>
      </c>
      <c r="F185" s="7">
        <v>105.1</v>
      </c>
    </row>
    <row r="186" spans="1:6">
      <c r="A186" s="12">
        <v>46236</v>
      </c>
      <c r="D186" t="s">
        <v>362</v>
      </c>
      <c r="E186" s="7">
        <v>80</v>
      </c>
      <c r="F186" s="7">
        <v>120</v>
      </c>
    </row>
    <row r="187" spans="1:6">
      <c r="A187" s="12">
        <v>46237</v>
      </c>
      <c r="D187" t="s">
        <v>364</v>
      </c>
      <c r="E187" s="7">
        <v>35.21</v>
      </c>
    </row>
    <row r="188" spans="1:6">
      <c r="A188" s="12">
        <v>46237</v>
      </c>
      <c r="D188" t="s">
        <v>366</v>
      </c>
      <c r="E188" s="7">
        <v>108.29</v>
      </c>
      <c r="F188" s="7">
        <v>160</v>
      </c>
    </row>
    <row r="189" spans="1:6">
      <c r="A189" s="12">
        <v>46237</v>
      </c>
      <c r="D189" t="s">
        <v>368</v>
      </c>
      <c r="E189" s="7">
        <v>118.79</v>
      </c>
      <c r="F189" s="7">
        <v>220.48</v>
      </c>
    </row>
    <row r="190" spans="1:6">
      <c r="A190" s="12">
        <v>46237</v>
      </c>
      <c r="D190" t="s">
        <v>370</v>
      </c>
      <c r="E190" s="7">
        <v>40.520000000000003</v>
      </c>
      <c r="F190" s="7">
        <v>100.29</v>
      </c>
    </row>
    <row r="191" spans="1:6">
      <c r="A191" s="12">
        <v>46237</v>
      </c>
      <c r="D191" t="s">
        <v>372</v>
      </c>
      <c r="E191" s="7">
        <v>117.27</v>
      </c>
      <c r="F191" s="7">
        <v>130</v>
      </c>
    </row>
    <row r="192" spans="1:6">
      <c r="A192" s="12">
        <v>46238</v>
      </c>
      <c r="D192" t="s">
        <v>374</v>
      </c>
      <c r="E192" s="7">
        <v>52.44</v>
      </c>
    </row>
    <row r="193" spans="1:6">
      <c r="A193" s="12">
        <v>46238</v>
      </c>
      <c r="D193" t="s">
        <v>376</v>
      </c>
      <c r="E193" s="7">
        <v>115</v>
      </c>
      <c r="F193" s="7">
        <v>160</v>
      </c>
    </row>
    <row r="194" spans="1:6">
      <c r="A194" s="12">
        <v>46238</v>
      </c>
      <c r="D194" t="s">
        <v>378</v>
      </c>
      <c r="E194" s="7">
        <v>145</v>
      </c>
      <c r="F194" s="7">
        <v>210.87</v>
      </c>
    </row>
    <row r="195" spans="1:6">
      <c r="A195" s="12">
        <v>46238</v>
      </c>
      <c r="D195" t="s">
        <v>380</v>
      </c>
      <c r="E195" s="7">
        <v>141.78</v>
      </c>
      <c r="F195" s="7">
        <v>230.1</v>
      </c>
    </row>
    <row r="196" spans="1:6">
      <c r="A196" s="12">
        <v>46240</v>
      </c>
      <c r="D196" t="s">
        <v>382</v>
      </c>
      <c r="E196" s="7">
        <v>75.540000000000006</v>
      </c>
      <c r="F196" s="7">
        <v>110</v>
      </c>
    </row>
    <row r="197" spans="1:6">
      <c r="A197" s="12">
        <v>46243</v>
      </c>
      <c r="D197" t="s">
        <v>384</v>
      </c>
      <c r="E197" s="7">
        <v>80.209999999999994</v>
      </c>
      <c r="F197" s="7">
        <v>135</v>
      </c>
    </row>
    <row r="198" spans="1:6">
      <c r="A198" s="12">
        <v>46244</v>
      </c>
      <c r="D198" t="s">
        <v>386</v>
      </c>
      <c r="E198" s="7">
        <v>79</v>
      </c>
      <c r="F198" s="7">
        <v>120</v>
      </c>
    </row>
    <row r="199" spans="1:6">
      <c r="A199" s="12">
        <v>46242</v>
      </c>
      <c r="D199" t="s">
        <v>388</v>
      </c>
      <c r="E199" s="7">
        <v>60</v>
      </c>
      <c r="F199" s="7">
        <v>100</v>
      </c>
    </row>
    <row r="200" spans="1:6">
      <c r="A200" s="12">
        <v>46244</v>
      </c>
      <c r="D200" t="s">
        <v>390</v>
      </c>
      <c r="E200" s="7">
        <v>50</v>
      </c>
    </row>
    <row r="201" spans="1:6">
      <c r="A201" s="12">
        <v>46246</v>
      </c>
      <c r="D201" t="s">
        <v>392</v>
      </c>
      <c r="E201" s="7">
        <v>70</v>
      </c>
    </row>
    <row r="202" spans="1:6">
      <c r="A202" s="12">
        <v>46247</v>
      </c>
      <c r="D202" t="s">
        <v>394</v>
      </c>
      <c r="E202" s="7">
        <v>68</v>
      </c>
    </row>
    <row r="203" spans="1:6">
      <c r="A203" s="12">
        <v>46249</v>
      </c>
      <c r="D203" t="s">
        <v>396</v>
      </c>
      <c r="E203" s="7">
        <v>51.65</v>
      </c>
    </row>
    <row r="204" spans="1:6">
      <c r="A204" s="12">
        <v>46249</v>
      </c>
      <c r="D204" t="s">
        <v>398</v>
      </c>
      <c r="E204" s="7">
        <v>80</v>
      </c>
    </row>
    <row r="205" spans="1:6">
      <c r="A205" s="12">
        <v>46250</v>
      </c>
      <c r="D205" t="s">
        <v>43</v>
      </c>
      <c r="E205" s="7">
        <v>76</v>
      </c>
    </row>
    <row r="206" spans="1:6">
      <c r="A206" s="12">
        <v>46250</v>
      </c>
      <c r="D206" t="s">
        <v>401</v>
      </c>
      <c r="E206" s="7">
        <v>115.5</v>
      </c>
    </row>
    <row r="207" spans="1:6">
      <c r="A207" s="12">
        <v>46250</v>
      </c>
      <c r="D207" t="s">
        <v>403</v>
      </c>
      <c r="E207" s="7">
        <v>70</v>
      </c>
    </row>
    <row r="208" spans="1:6">
      <c r="A208" s="12">
        <v>46249</v>
      </c>
      <c r="D208" t="s">
        <v>405</v>
      </c>
      <c r="E208" s="7">
        <v>20</v>
      </c>
      <c r="F208" s="7">
        <v>30</v>
      </c>
    </row>
    <row r="209" spans="1:6">
      <c r="A209" s="12">
        <v>46254</v>
      </c>
      <c r="D209" t="s">
        <v>407</v>
      </c>
      <c r="E209" s="7">
        <v>125</v>
      </c>
      <c r="F209" s="7">
        <f>150+160</f>
        <v>310</v>
      </c>
    </row>
    <row r="210" spans="1:6">
      <c r="A210" s="12">
        <v>46255</v>
      </c>
      <c r="D210" t="s">
        <v>409</v>
      </c>
      <c r="E210" s="7">
        <v>66.08</v>
      </c>
    </row>
    <row r="211" spans="1:6">
      <c r="A211" s="12">
        <v>46256</v>
      </c>
      <c r="D211" t="s">
        <v>411</v>
      </c>
      <c r="E211" s="7">
        <f>19.99+76.73</f>
        <v>96.72</v>
      </c>
    </row>
    <row r="212" spans="1:6">
      <c r="A212" s="12">
        <v>46256</v>
      </c>
      <c r="D212" t="s">
        <v>413</v>
      </c>
      <c r="E212" s="7">
        <v>62.44</v>
      </c>
    </row>
    <row r="213" spans="1:6">
      <c r="A213" s="12">
        <v>46256</v>
      </c>
      <c r="D213" t="s">
        <v>415</v>
      </c>
      <c r="E213" s="7">
        <v>50</v>
      </c>
    </row>
    <row r="214" spans="1:6">
      <c r="A214" s="12">
        <v>46258</v>
      </c>
      <c r="D214" t="s">
        <v>417</v>
      </c>
      <c r="E214" s="7">
        <v>80.88</v>
      </c>
    </row>
    <row r="215" spans="1:6">
      <c r="A215" s="12">
        <v>46258</v>
      </c>
      <c r="B215" s="12"/>
      <c r="D215" t="s">
        <v>419</v>
      </c>
      <c r="E215" s="7">
        <v>57.44</v>
      </c>
    </row>
    <row r="216" spans="1:6">
      <c r="A216" s="12">
        <v>46258</v>
      </c>
      <c r="D216" t="s">
        <v>421</v>
      </c>
      <c r="E216" s="7">
        <v>193.51</v>
      </c>
    </row>
    <row r="217" spans="1:6">
      <c r="A217" s="12">
        <v>46259</v>
      </c>
      <c r="D217" t="s">
        <v>423</v>
      </c>
      <c r="E217" s="7">
        <v>149.99</v>
      </c>
    </row>
    <row r="218" spans="1:6">
      <c r="A218" s="12">
        <v>46260</v>
      </c>
      <c r="D218" t="s">
        <v>425</v>
      </c>
      <c r="E218" s="7">
        <v>107</v>
      </c>
    </row>
    <row r="219" spans="1:6">
      <c r="A219" s="12">
        <v>46260</v>
      </c>
      <c r="D219" t="s">
        <v>427</v>
      </c>
      <c r="E219" s="7">
        <v>123.89</v>
      </c>
    </row>
    <row r="220" spans="1:6">
      <c r="A220" s="12">
        <v>46261</v>
      </c>
      <c r="D220" t="s">
        <v>429</v>
      </c>
      <c r="E220" s="7">
        <v>96.65</v>
      </c>
    </row>
    <row r="221" spans="1:6">
      <c r="A221" s="12">
        <v>46263</v>
      </c>
      <c r="D221" t="s">
        <v>431</v>
      </c>
      <c r="E221" s="7">
        <v>91.14</v>
      </c>
    </row>
    <row r="222" spans="1:6">
      <c r="A222" s="12">
        <v>46264</v>
      </c>
      <c r="D222" t="s">
        <v>433</v>
      </c>
      <c r="E222" s="7">
        <v>47.51</v>
      </c>
    </row>
    <row r="223" spans="1:6">
      <c r="A223" s="12">
        <v>46264</v>
      </c>
      <c r="D223" t="s">
        <v>435</v>
      </c>
      <c r="E223" s="7">
        <v>117.14</v>
      </c>
    </row>
    <row r="224" spans="1:6">
      <c r="A224" s="12">
        <v>46265</v>
      </c>
      <c r="D224" t="s">
        <v>437</v>
      </c>
      <c r="E224" s="7">
        <v>81.3</v>
      </c>
    </row>
    <row r="225" spans="1:5">
      <c r="A225" s="12">
        <v>46265</v>
      </c>
      <c r="D225" t="s">
        <v>439</v>
      </c>
      <c r="E225" s="7">
        <v>89.78</v>
      </c>
    </row>
  </sheetData>
  <autoFilter ref="A4:I220" xr:uid="{8740C97C-AF15-497E-A764-A721A2774CC0}"/>
  <mergeCells count="12">
    <mergeCell ref="E171:E172"/>
    <mergeCell ref="E28:E30"/>
    <mergeCell ref="F32:F33"/>
    <mergeCell ref="E47:E48"/>
    <mergeCell ref="E71:E76"/>
    <mergeCell ref="E99:E102"/>
    <mergeCell ref="E104:E105"/>
    <mergeCell ref="E122:E123"/>
    <mergeCell ref="E129:E130"/>
    <mergeCell ref="E135:E142"/>
    <mergeCell ref="E144:E145"/>
    <mergeCell ref="E162:E16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2026-09-01T22:28:10Z</dcterms:created>
  <dcterms:modified xsi:type="dcterms:W3CDTF">2026-09-01T22:53:34Z</dcterms:modified>
  <cp:category/>
  <cp:contentStatus/>
</cp:coreProperties>
</file>